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ndcgroupplc-my.sharepoint.com/personal/david_simpson_tennents_com/Documents/Documents/"/>
    </mc:Choice>
  </mc:AlternateContent>
  <xr:revisionPtr revIDLastSave="0" documentId="8_{4A0DA326-829A-41AE-A5C4-A62820859A0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ms" sheetId="3" state="hidden" r:id="rId1"/>
    <sheet name="BDM Copy" sheetId="4" r:id="rId2"/>
    <sheet name="Customer Copy" sheetId="5" r:id="rId3"/>
  </sheets>
  <definedNames>
    <definedName name="_xlnm._FilterDatabase" localSheetId="1" hidden="1">'BDM Copy'!$C$1:$C$47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4" l="1"/>
  <c r="H23" i="4"/>
  <c r="I23" i="4" s="1"/>
  <c r="K23" i="4"/>
  <c r="K34" i="4" l="1"/>
  <c r="H34" i="4"/>
  <c r="I34" i="4" s="1"/>
  <c r="G34" i="4"/>
  <c r="H13" i="4" l="1"/>
  <c r="I13" i="4" s="1"/>
  <c r="G13" i="4"/>
  <c r="K13" i="4"/>
  <c r="K37" i="4" l="1"/>
  <c r="H37" i="4"/>
  <c r="I37" i="4" s="1"/>
  <c r="G37" i="4"/>
  <c r="K9" i="4"/>
  <c r="K8" i="4"/>
  <c r="H9" i="4"/>
  <c r="I9" i="4" s="1"/>
  <c r="H8" i="4"/>
  <c r="G9" i="4"/>
  <c r="G8" i="4"/>
  <c r="H15" i="4" l="1"/>
  <c r="H16" i="4"/>
  <c r="H17" i="4"/>
  <c r="I17" i="4" s="1"/>
  <c r="G15" i="4"/>
  <c r="G16" i="4"/>
  <c r="K16" i="4"/>
  <c r="K15" i="4"/>
  <c r="I16" i="4" l="1"/>
  <c r="F14" i="5"/>
  <c r="G14" i="5" s="1"/>
  <c r="I15" i="4"/>
  <c r="F13" i="5"/>
  <c r="G13" i="5" s="1"/>
  <c r="H22" i="4"/>
  <c r="J13" i="5" l="1"/>
  <c r="I13" i="5"/>
  <c r="J14" i="5"/>
  <c r="I14" i="5"/>
  <c r="K35" i="5"/>
  <c r="K36" i="5"/>
  <c r="K37" i="5"/>
  <c r="K38" i="5"/>
  <c r="K39" i="5"/>
  <c r="K40" i="5"/>
  <c r="K34" i="5"/>
  <c r="K27" i="5"/>
  <c r="K28" i="5"/>
  <c r="K29" i="5"/>
  <c r="K30" i="5"/>
  <c r="K31" i="5"/>
  <c r="K32" i="5"/>
  <c r="K26" i="5"/>
  <c r="K18" i="5"/>
  <c r="K19" i="5"/>
  <c r="K20" i="5"/>
  <c r="K21" i="5"/>
  <c r="K22" i="5"/>
  <c r="K23" i="5"/>
  <c r="K24" i="5"/>
  <c r="K17" i="5"/>
  <c r="K11" i="5"/>
  <c r="K12" i="5"/>
  <c r="K15" i="5"/>
  <c r="K10" i="5"/>
  <c r="K8" i="5"/>
  <c r="K7" i="5"/>
  <c r="G24" i="4"/>
  <c r="G25" i="4"/>
  <c r="G26" i="4"/>
  <c r="G27" i="4"/>
  <c r="G29" i="4"/>
  <c r="G30" i="4"/>
  <c r="G31" i="4"/>
  <c r="G32" i="4"/>
  <c r="G33" i="4"/>
  <c r="G35" i="4"/>
  <c r="G36" i="4"/>
  <c r="G39" i="4"/>
  <c r="G40" i="4"/>
  <c r="G41" i="4"/>
  <c r="G42" i="4"/>
  <c r="G43" i="4"/>
  <c r="G44" i="4"/>
  <c r="G45" i="4"/>
  <c r="K40" i="4" l="1"/>
  <c r="H40" i="4"/>
  <c r="F35" i="5" s="1"/>
  <c r="K42" i="4"/>
  <c r="H42" i="4"/>
  <c r="F37" i="5" s="1"/>
  <c r="I42" i="4" l="1"/>
  <c r="I40" i="4"/>
  <c r="H26" i="4" l="1"/>
  <c r="F23" i="5" s="1"/>
  <c r="H27" i="4"/>
  <c r="F24" i="5" s="1"/>
  <c r="K26" i="4"/>
  <c r="K27" i="4"/>
  <c r="I26" i="4" l="1"/>
  <c r="G23" i="5"/>
  <c r="I27" i="4"/>
  <c r="G24" i="5"/>
  <c r="H14" i="4"/>
  <c r="F12" i="5" s="1"/>
  <c r="I14" i="4" l="1"/>
  <c r="I24" i="5"/>
  <c r="J24" i="5"/>
  <c r="I23" i="5"/>
  <c r="J23" i="5"/>
  <c r="K7" i="4" l="1"/>
  <c r="K22" i="4" l="1"/>
  <c r="F20" i="5"/>
  <c r="G22" i="4"/>
  <c r="I22" i="4" l="1"/>
  <c r="G20" i="5"/>
  <c r="J20" i="5" s="1"/>
  <c r="I20" i="5" l="1"/>
  <c r="K45" i="4"/>
  <c r="G21" i="4" l="1"/>
  <c r="K21" i="4"/>
  <c r="H21" i="4"/>
  <c r="F19" i="5" s="1"/>
  <c r="H12" i="4"/>
  <c r="F11" i="5" s="1"/>
  <c r="I21" i="4" l="1"/>
  <c r="G19" i="5"/>
  <c r="I12" i="4"/>
  <c r="G11" i="5"/>
  <c r="I19" i="5" l="1"/>
  <c r="J19" i="5"/>
  <c r="I11" i="5"/>
  <c r="J11" i="5"/>
  <c r="H45" i="4"/>
  <c r="K44" i="4"/>
  <c r="H44" i="4"/>
  <c r="K43" i="4"/>
  <c r="H43" i="4"/>
  <c r="K41" i="4"/>
  <c r="H41" i="4"/>
  <c r="F36" i="5" s="1"/>
  <c r="G36" i="5" s="1"/>
  <c r="K39" i="4"/>
  <c r="H39" i="4"/>
  <c r="F34" i="5" s="1"/>
  <c r="K36" i="4"/>
  <c r="H36" i="4"/>
  <c r="F32" i="5" s="1"/>
  <c r="K35" i="4"/>
  <c r="H35" i="4"/>
  <c r="F31" i="5" s="1"/>
  <c r="K33" i="4"/>
  <c r="H33" i="4"/>
  <c r="F30" i="5" s="1"/>
  <c r="K32" i="4"/>
  <c r="H32" i="4"/>
  <c r="F29" i="5" s="1"/>
  <c r="K31" i="4"/>
  <c r="H31" i="4"/>
  <c r="F28" i="5" s="1"/>
  <c r="K30" i="4"/>
  <c r="H30" i="4"/>
  <c r="F27" i="5" s="1"/>
  <c r="K29" i="4"/>
  <c r="H29" i="4"/>
  <c r="F26" i="5" s="1"/>
  <c r="G26" i="5" s="1"/>
  <c r="I26" i="5" s="1"/>
  <c r="K25" i="4"/>
  <c r="H25" i="4"/>
  <c r="F22" i="5" s="1"/>
  <c r="K24" i="4"/>
  <c r="H24" i="4"/>
  <c r="F21" i="5" s="1"/>
  <c r="K20" i="4"/>
  <c r="H20" i="4"/>
  <c r="F18" i="5" s="1"/>
  <c r="G20" i="4"/>
  <c r="K19" i="4"/>
  <c r="H19" i="4"/>
  <c r="F17" i="5" s="1"/>
  <c r="G19" i="4"/>
  <c r="K17" i="4"/>
  <c r="F15" i="5"/>
  <c r="G17" i="4"/>
  <c r="K14" i="4"/>
  <c r="G14" i="4"/>
  <c r="K12" i="4"/>
  <c r="G12" i="4"/>
  <c r="K11" i="4"/>
  <c r="H11" i="4"/>
  <c r="F10" i="5" s="1"/>
  <c r="G11" i="4"/>
  <c r="F8" i="5"/>
  <c r="H7" i="4"/>
  <c r="F7" i="5" s="1"/>
  <c r="G7" i="4"/>
  <c r="I43" i="4" l="1"/>
  <c r="F38" i="5"/>
  <c r="G38" i="5" s="1"/>
  <c r="I44" i="4"/>
  <c r="F39" i="5"/>
  <c r="G39" i="5" s="1"/>
  <c r="I45" i="4"/>
  <c r="F40" i="5"/>
  <c r="G40" i="5" s="1"/>
  <c r="I36" i="5"/>
  <c r="J36" i="5"/>
  <c r="I35" i="4"/>
  <c r="I11" i="4"/>
  <c r="I33" i="4"/>
  <c r="G35" i="5"/>
  <c r="I8" i="4"/>
  <c r="G8" i="5"/>
  <c r="I30" i="4"/>
  <c r="I20" i="4"/>
  <c r="I31" i="4"/>
  <c r="I39" i="4"/>
  <c r="G37" i="5"/>
  <c r="I32" i="4"/>
  <c r="I36" i="4"/>
  <c r="G34" i="5"/>
  <c r="I24" i="4"/>
  <c r="I19" i="4"/>
  <c r="I25" i="4"/>
  <c r="I29" i="4"/>
  <c r="I41" i="4"/>
  <c r="I7" i="4"/>
  <c r="I40" i="5" l="1"/>
  <c r="J40" i="5"/>
  <c r="I38" i="5"/>
  <c r="J38" i="5"/>
  <c r="I39" i="5"/>
  <c r="J39" i="5"/>
  <c r="I34" i="5"/>
  <c r="J34" i="5"/>
  <c r="I35" i="5"/>
  <c r="J35" i="5"/>
  <c r="I37" i="5"/>
  <c r="J37" i="5"/>
  <c r="J26" i="5"/>
  <c r="I8" i="5"/>
  <c r="J8" i="5"/>
  <c r="G32" i="5"/>
  <c r="G31" i="5"/>
  <c r="G30" i="5"/>
  <c r="G29" i="5"/>
  <c r="G28" i="5"/>
  <c r="G27" i="5"/>
  <c r="G22" i="5"/>
  <c r="G21" i="5"/>
  <c r="G18" i="5"/>
  <c r="G17" i="5"/>
  <c r="G15" i="5"/>
  <c r="J15" i="5" s="1"/>
  <c r="G12" i="5"/>
  <c r="G10" i="5"/>
  <c r="G7" i="5"/>
  <c r="I31" i="5" l="1"/>
  <c r="J31" i="5"/>
  <c r="I10" i="5"/>
  <c r="J10" i="5"/>
  <c r="I32" i="5"/>
  <c r="J32" i="5"/>
  <c r="I12" i="5"/>
  <c r="J12" i="5"/>
  <c r="I29" i="5"/>
  <c r="J29" i="5"/>
  <c r="I21" i="5"/>
  <c r="J21" i="5"/>
  <c r="I22" i="5"/>
  <c r="J22" i="5"/>
  <c r="I15" i="5"/>
  <c r="I17" i="5"/>
  <c r="J17" i="5"/>
  <c r="I28" i="5"/>
  <c r="J28" i="5"/>
  <c r="I30" i="5"/>
  <c r="J30" i="5"/>
  <c r="I7" i="5"/>
  <c r="J7" i="5"/>
  <c r="I18" i="5"/>
  <c r="J18" i="5"/>
  <c r="I27" i="5"/>
  <c r="J27" i="5"/>
  <c r="I18" i="3"/>
  <c r="E19" i="3"/>
  <c r="F19" i="3"/>
  <c r="E20" i="3"/>
  <c r="F20" i="3"/>
  <c r="D20" i="3"/>
  <c r="D19" i="3"/>
  <c r="H18" i="3"/>
  <c r="H12" i="3"/>
  <c r="I12" i="3" s="1"/>
  <c r="H13" i="3"/>
  <c r="I13" i="3" s="1"/>
  <c r="H11" i="3"/>
  <c r="I11" i="3" s="1"/>
  <c r="H14" i="3"/>
  <c r="I14" i="3" s="1"/>
  <c r="G10" i="3"/>
  <c r="G17" i="3" s="1"/>
  <c r="G19" i="3" l="1"/>
  <c r="I19" i="3" s="1"/>
  <c r="G20" i="3"/>
  <c r="I20" i="3" s="1"/>
  <c r="H19" i="3"/>
  <c r="H20" i="3"/>
</calcChain>
</file>

<file path=xl/sharedStrings.xml><?xml version="1.0" encoding="utf-8"?>
<sst xmlns="http://schemas.openxmlformats.org/spreadsheetml/2006/main" count="188" uniqueCount="120">
  <si>
    <t>Tennents Lager</t>
  </si>
  <si>
    <t>Ales / Stout</t>
  </si>
  <si>
    <t>Guinness Keg</t>
  </si>
  <si>
    <t>Ciders</t>
  </si>
  <si>
    <t>Gaymers Old English</t>
  </si>
  <si>
    <t>WSP/Brl</t>
  </si>
  <si>
    <t>36G</t>
  </si>
  <si>
    <t>£/brl</t>
  </si>
  <si>
    <t>9G</t>
  </si>
  <si>
    <t>10G</t>
  </si>
  <si>
    <t>11G</t>
  </si>
  <si>
    <t>18G</t>
  </si>
  <si>
    <t>22G</t>
  </si>
  <si>
    <t>Price from 28.03.11</t>
  </si>
  <si>
    <t>ABV %</t>
  </si>
  <si>
    <t>Caledonia Best</t>
  </si>
  <si>
    <t>Estrella Damm</t>
  </si>
  <si>
    <t>Price from 05.03.12</t>
  </si>
  <si>
    <t>Stella Artois</t>
  </si>
  <si>
    <t>Standard Lager</t>
  </si>
  <si>
    <t>Premium Lager</t>
  </si>
  <si>
    <t>Jeffreys Lager</t>
  </si>
  <si>
    <t>Increase from 05.03.12</t>
  </si>
  <si>
    <t>Owner</t>
  </si>
  <si>
    <t>CATEGORY</t>
  </si>
  <si>
    <t>BRAND</t>
  </si>
  <si>
    <t>ABV</t>
  </si>
  <si>
    <t>Heineken</t>
  </si>
  <si>
    <t>CT</t>
  </si>
  <si>
    <t>Carlsberg</t>
  </si>
  <si>
    <t>Fosters</t>
  </si>
  <si>
    <t>C&amp;C</t>
  </si>
  <si>
    <t>Tennent's Lager</t>
  </si>
  <si>
    <t>Coors</t>
  </si>
  <si>
    <t>Carling</t>
  </si>
  <si>
    <t>WSP 28th March 2011</t>
  </si>
  <si>
    <t>Small Container Charge</t>
  </si>
  <si>
    <t>WSP 5th March 2012</t>
  </si>
  <si>
    <t>50l / 11G Container Price</t>
  </si>
  <si>
    <t>Solus Drive Brands Discount</t>
  </si>
  <si>
    <t>Discount</t>
  </si>
  <si>
    <t>New Net  Price</t>
  </si>
  <si>
    <t>Per Brl</t>
  </si>
  <si>
    <t xml:space="preserve"> Net Price  </t>
  </si>
  <si>
    <t>Iona Retro</t>
  </si>
  <si>
    <t xml:space="preserve">Tennant </t>
  </si>
  <si>
    <t>Off invoice</t>
  </si>
  <si>
    <t>McEwan's Export</t>
  </si>
  <si>
    <t>McEwan's 80/-</t>
  </si>
  <si>
    <t>Heverlee</t>
  </si>
  <si>
    <t>Gladeye IPA</t>
  </si>
  <si>
    <t>Menabrea</t>
  </si>
  <si>
    <t>Drygate Pilsner</t>
  </si>
  <si>
    <t>Craft Beers</t>
  </si>
  <si>
    <t>Magners Ice Cold</t>
  </si>
  <si>
    <t>Brand</t>
  </si>
  <si>
    <t xml:space="preserve"> 36G</t>
  </si>
  <si>
    <t>Innis and Gunn Lager</t>
  </si>
  <si>
    <t>Innis and Gunn IPA</t>
  </si>
  <si>
    <t>Magners Dark Fruit</t>
  </si>
  <si>
    <t xml:space="preserve"> Per Keg </t>
  </si>
  <si>
    <t xml:space="preserve">Net Price </t>
  </si>
  <si>
    <t xml:space="preserve">Per Pint </t>
  </si>
  <si>
    <t>GP %</t>
  </si>
  <si>
    <t>Retail Price</t>
  </si>
  <si>
    <t>Orchard Pig Reveller Cider</t>
  </si>
  <si>
    <t>Pubname</t>
  </si>
  <si>
    <t>Date</t>
  </si>
  <si>
    <t>Drygate Seven Peaks</t>
  </si>
  <si>
    <t>Disco Forklift Truck (30L)</t>
  </si>
  <si>
    <t>Tennents Light 60/-</t>
  </si>
  <si>
    <t>Tennents Special 70/-</t>
  </si>
  <si>
    <t>Tennents Ember 80/-</t>
  </si>
  <si>
    <t>Sku Code</t>
  </si>
  <si>
    <t>400076/400745</t>
  </si>
  <si>
    <t>GUI002/GUI003</t>
  </si>
  <si>
    <t>MCE015</t>
  </si>
  <si>
    <t>MCE005</t>
  </si>
  <si>
    <t>400557/400751</t>
  </si>
  <si>
    <t>STE025</t>
  </si>
  <si>
    <t>EST002</t>
  </si>
  <si>
    <t>DRY019</t>
  </si>
  <si>
    <t>GLA006</t>
  </si>
  <si>
    <t>DRY025</t>
  </si>
  <si>
    <t>DIS008/DIS004</t>
  </si>
  <si>
    <t>INN008</t>
  </si>
  <si>
    <t>INN005</t>
  </si>
  <si>
    <t>Cash Margin</t>
  </si>
  <si>
    <t>Jubel Peach (30L)</t>
  </si>
  <si>
    <t>Jubel Grapefruit (30L)</t>
  </si>
  <si>
    <t>JUB002</t>
  </si>
  <si>
    <t>JUB003</t>
  </si>
  <si>
    <t>Blackthorn  Gold</t>
  </si>
  <si>
    <t>Blackthorn Dry</t>
  </si>
  <si>
    <t>Outcider 50L</t>
  </si>
  <si>
    <t>401136</t>
  </si>
  <si>
    <t>401080</t>
  </si>
  <si>
    <t>401079</t>
  </si>
  <si>
    <t>Innis and Gunn Lager (50L)</t>
  </si>
  <si>
    <t>Innis and Gunn IPA (50L)</t>
  </si>
  <si>
    <t>Disco Forklift Truck (50L)</t>
  </si>
  <si>
    <t xml:space="preserve">FB Taverns Total </t>
  </si>
  <si>
    <t>TENNENTS SCOTLAND - FB TAVERNS WSP 2026</t>
  </si>
  <si>
    <t>Mahou</t>
  </si>
  <si>
    <t>San Miguel</t>
  </si>
  <si>
    <t>T00048477</t>
  </si>
  <si>
    <t>SAN002</t>
  </si>
  <si>
    <t>TENNENTS SCOTLAND -  FB TAVERNS WSP MARCH 2026 Draught Products</t>
  </si>
  <si>
    <t>Carlsberg Pilsner</t>
  </si>
  <si>
    <t>T00045238</t>
  </si>
  <si>
    <t>MCE008</t>
  </si>
  <si>
    <t>McEwan's 70/-</t>
  </si>
  <si>
    <t>Tennents Bavarian Pilsner</t>
  </si>
  <si>
    <t>401211</t>
  </si>
  <si>
    <t>401254</t>
  </si>
  <si>
    <t>Tennents Stout</t>
  </si>
  <si>
    <t>T00044490</t>
  </si>
  <si>
    <t>disco forklift truck (30L)</t>
  </si>
  <si>
    <t>DIS009</t>
  </si>
  <si>
    <t>GUI002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</si>
</sst>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#,##0.0"/>
    <numFmt numFmtId="165" formatCode="&quot;£&quot;#,##0.00"/>
    <numFmt numFmtId="166" formatCode="0.0%"/>
    <numFmt numFmtId="167" formatCode="_-[$£-809]* #,##0.00_-;\-[$£-809]* #,##0.00_-;_-[$£-809]* &quot;-&quot;??_-;_-@_-"/>
  </numFmts>
  <fonts count="28" x14ac:knownFonts="1"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u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i/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1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18"/>
      <name val="Calibri"/>
      <family val="2"/>
    </font>
    <font>
      <b/>
      <sz val="6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4" fontId="4" fillId="0" borderId="0" xfId="0" applyNumberFormat="1" applyFont="1"/>
    <xf numFmtId="4" fontId="5" fillId="0" borderId="0" xfId="0" applyNumberFormat="1" applyFont="1"/>
    <xf numFmtId="4" fontId="3" fillId="0" borderId="0" xfId="0" applyNumberFormat="1" applyFont="1"/>
    <xf numFmtId="0" fontId="6" fillId="0" borderId="0" xfId="0" applyFont="1"/>
    <xf numFmtId="164" fontId="7" fillId="0" borderId="1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5" fontId="7" fillId="0" borderId="0" xfId="0" applyNumberFormat="1" applyFont="1"/>
    <xf numFmtId="0" fontId="7" fillId="0" borderId="7" xfId="0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4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165" fontId="7" fillId="0" borderId="6" xfId="0" applyNumberFormat="1" applyFont="1" applyBorder="1" applyAlignment="1">
      <alignment horizontal="center" wrapText="1"/>
    </xf>
    <xf numFmtId="165" fontId="7" fillId="0" borderId="4" xfId="0" applyNumberFormat="1" applyFont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/>
    <xf numFmtId="166" fontId="8" fillId="0" borderId="10" xfId="1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/>
    <xf numFmtId="167" fontId="6" fillId="0" borderId="0" xfId="0" applyNumberFormat="1" applyFont="1"/>
    <xf numFmtId="167" fontId="0" fillId="0" borderId="0" xfId="0" applyNumberFormat="1"/>
    <xf numFmtId="167" fontId="10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4" fontId="10" fillId="0" borderId="0" xfId="2" applyFont="1" applyAlignment="1">
      <alignment horizontal="center"/>
    </xf>
    <xf numFmtId="44" fontId="0" fillId="0" borderId="0" xfId="2" applyFont="1"/>
    <xf numFmtId="9" fontId="10" fillId="0" borderId="0" xfId="1" applyFont="1" applyAlignment="1">
      <alignment horizontal="center"/>
    </xf>
    <xf numFmtId="9" fontId="0" fillId="0" borderId="0" xfId="1" applyFont="1"/>
    <xf numFmtId="0" fontId="24" fillId="0" borderId="0" xfId="0" applyFont="1"/>
    <xf numFmtId="167" fontId="25" fillId="0" borderId="0" xfId="0" applyNumberFormat="1" applyFont="1" applyAlignment="1">
      <alignment horizontal="center"/>
    </xf>
    <xf numFmtId="0" fontId="26" fillId="0" borderId="0" xfId="0" applyFont="1"/>
    <xf numFmtId="167" fontId="4" fillId="2" borderId="11" xfId="0" applyNumberFormat="1" applyFont="1" applyFill="1" applyBorder="1" applyAlignment="1">
      <alignment horizontal="center" vertical="top"/>
    </xf>
    <xf numFmtId="167" fontId="4" fillId="2" borderId="3" xfId="0" applyNumberFormat="1" applyFont="1" applyFill="1" applyBorder="1" applyAlignment="1">
      <alignment horizontal="center"/>
    </xf>
    <xf numFmtId="167" fontId="4" fillId="2" borderId="9" xfId="0" applyNumberFormat="1" applyFont="1" applyFill="1" applyBorder="1" applyAlignment="1">
      <alignment horizontal="center"/>
    </xf>
    <xf numFmtId="167" fontId="4" fillId="2" borderId="12" xfId="0" applyNumberFormat="1" applyFont="1" applyFill="1" applyBorder="1" applyAlignment="1">
      <alignment horizontal="center" wrapText="1"/>
    </xf>
    <xf numFmtId="167" fontId="4" fillId="2" borderId="4" xfId="0" applyNumberFormat="1" applyFont="1" applyFill="1" applyBorder="1" applyAlignment="1">
      <alignment horizontal="center"/>
    </xf>
    <xf numFmtId="167" fontId="12" fillId="2" borderId="4" xfId="0" applyNumberFormat="1" applyFont="1" applyFill="1" applyBorder="1" applyAlignment="1">
      <alignment horizontal="center"/>
    </xf>
    <xf numFmtId="167" fontId="11" fillId="2" borderId="14" xfId="0" applyNumberFormat="1" applyFont="1" applyFill="1" applyBorder="1" applyAlignment="1">
      <alignment horizontal="center"/>
    </xf>
    <xf numFmtId="167" fontId="6" fillId="0" borderId="0" xfId="0" applyNumberFormat="1" applyFont="1" applyProtection="1">
      <protection locked="0"/>
    </xf>
    <xf numFmtId="167" fontId="11" fillId="3" borderId="10" xfId="0" applyNumberFormat="1" applyFont="1" applyFill="1" applyBorder="1" applyAlignment="1">
      <alignment horizontal="center"/>
    </xf>
    <xf numFmtId="167" fontId="17" fillId="0" borderId="10" xfId="0" applyNumberFormat="1" applyFont="1" applyBorder="1" applyAlignment="1">
      <alignment horizontal="center"/>
    </xf>
    <xf numFmtId="167" fontId="20" fillId="3" borderId="10" xfId="0" applyNumberFormat="1" applyFont="1" applyFill="1" applyBorder="1" applyAlignment="1">
      <alignment horizontal="center"/>
    </xf>
    <xf numFmtId="0" fontId="14" fillId="0" borderId="0" xfId="0" applyFont="1"/>
    <xf numFmtId="44" fontId="14" fillId="0" borderId="0" xfId="2" applyFont="1" applyAlignment="1" applyProtection="1"/>
    <xf numFmtId="9" fontId="14" fillId="0" borderId="0" xfId="1" applyFont="1" applyAlignment="1" applyProtection="1"/>
    <xf numFmtId="44" fontId="10" fillId="0" borderId="0" xfId="2" applyFont="1" applyAlignment="1" applyProtection="1">
      <alignment horizontal="center"/>
    </xf>
    <xf numFmtId="9" fontId="10" fillId="0" borderId="0" xfId="1" applyFont="1" applyAlignment="1" applyProtection="1">
      <alignment horizontal="center"/>
    </xf>
    <xf numFmtId="44" fontId="4" fillId="2" borderId="3" xfId="2" applyFont="1" applyFill="1" applyBorder="1" applyAlignment="1" applyProtection="1">
      <alignment horizontal="center"/>
    </xf>
    <xf numFmtId="9" fontId="4" fillId="2" borderId="3" xfId="1" applyFont="1" applyFill="1" applyBorder="1" applyAlignment="1" applyProtection="1">
      <alignment horizontal="center"/>
    </xf>
    <xf numFmtId="44" fontId="4" fillId="2" borderId="4" xfId="2" applyFont="1" applyFill="1" applyBorder="1" applyAlignment="1" applyProtection="1">
      <alignment horizontal="center"/>
    </xf>
    <xf numFmtId="9" fontId="4" fillId="2" borderId="4" xfId="1" applyFont="1" applyFill="1" applyBorder="1" applyAlignment="1" applyProtection="1">
      <alignment horizontal="center"/>
    </xf>
    <xf numFmtId="9" fontId="17" fillId="0" borderId="10" xfId="1" applyFont="1" applyBorder="1" applyAlignment="1" applyProtection="1">
      <alignment horizontal="center"/>
    </xf>
    <xf numFmtId="167" fontId="1" fillId="4" borderId="0" xfId="0" applyNumberFormat="1" applyFont="1" applyFill="1" applyAlignment="1" applyProtection="1">
      <alignment horizontal="center"/>
      <protection locked="0"/>
    </xf>
    <xf numFmtId="0" fontId="1" fillId="4" borderId="0" xfId="0" applyFont="1" applyFill="1" applyProtection="1">
      <protection locked="0"/>
    </xf>
    <xf numFmtId="44" fontId="17" fillId="4" borderId="10" xfId="2" applyFon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167" fontId="11" fillId="3" borderId="0" xfId="0" applyNumberFormat="1" applyFont="1" applyFill="1" applyAlignment="1">
      <alignment horizontal="center"/>
    </xf>
    <xf numFmtId="4" fontId="15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49" fontId="16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49" fontId="15" fillId="3" borderId="0" xfId="0" applyNumberFormat="1" applyFont="1" applyFill="1" applyAlignment="1">
      <alignment horizontal="center"/>
    </xf>
    <xf numFmtId="165" fontId="19" fillId="3" borderId="0" xfId="0" applyNumberFormat="1" applyFont="1" applyFill="1" applyAlignment="1">
      <alignment horizontal="center"/>
    </xf>
    <xf numFmtId="167" fontId="17" fillId="3" borderId="0" xfId="0" applyNumberFormat="1" applyFont="1" applyFill="1" applyAlignment="1">
      <alignment horizontal="center"/>
    </xf>
    <xf numFmtId="167" fontId="17" fillId="3" borderId="0" xfId="0" applyNumberFormat="1" applyFont="1" applyFill="1" applyAlignment="1" applyProtection="1">
      <alignment horizontal="center"/>
      <protection locked="0"/>
    </xf>
    <xf numFmtId="167" fontId="17" fillId="3" borderId="10" xfId="0" applyNumberFormat="1" applyFont="1" applyFill="1" applyBorder="1" applyAlignment="1">
      <alignment horizontal="center"/>
    </xf>
    <xf numFmtId="167" fontId="17" fillId="3" borderId="10" xfId="0" applyNumberFormat="1" applyFont="1" applyFill="1" applyBorder="1" applyAlignment="1" applyProtection="1">
      <alignment horizontal="center"/>
      <protection locked="0"/>
    </xf>
    <xf numFmtId="0" fontId="15" fillId="3" borderId="0" xfId="0" applyFont="1" applyFill="1" applyAlignment="1">
      <alignment horizontal="center" vertical="center"/>
    </xf>
    <xf numFmtId="166" fontId="19" fillId="3" borderId="0" xfId="0" applyNumberFormat="1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4" fontId="16" fillId="3" borderId="0" xfId="0" applyNumberFormat="1" applyFont="1" applyFill="1" applyAlignment="1">
      <alignment horizontal="center"/>
    </xf>
    <xf numFmtId="167" fontId="19" fillId="3" borderId="10" xfId="0" applyNumberFormat="1" applyFont="1" applyFill="1" applyBorder="1" applyAlignment="1">
      <alignment horizontal="center"/>
    </xf>
    <xf numFmtId="49" fontId="18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166" fontId="19" fillId="3" borderId="10" xfId="0" applyNumberFormat="1" applyFont="1" applyFill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165" fontId="0" fillId="0" borderId="0" xfId="0" applyNumberFormat="1"/>
    <xf numFmtId="165" fontId="17" fillId="0" borderId="10" xfId="0" applyNumberFormat="1" applyFont="1" applyBorder="1" applyAlignment="1" applyProtection="1">
      <alignment horizontal="center"/>
      <protection locked="0"/>
    </xf>
    <xf numFmtId="166" fontId="11" fillId="3" borderId="10" xfId="0" applyNumberFormat="1" applyFont="1" applyFill="1" applyBorder="1" applyAlignment="1">
      <alignment horizontal="center"/>
    </xf>
    <xf numFmtId="166" fontId="19" fillId="3" borderId="10" xfId="1" applyNumberFormat="1" applyFont="1" applyFill="1" applyBorder="1" applyAlignment="1" applyProtection="1">
      <alignment horizontal="center"/>
    </xf>
    <xf numFmtId="166" fontId="21" fillId="3" borderId="10" xfId="0" applyNumberFormat="1" applyFont="1" applyFill="1" applyBorder="1" applyAlignment="1">
      <alignment horizontal="center"/>
    </xf>
    <xf numFmtId="44" fontId="17" fillId="3" borderId="0" xfId="2" applyFont="1" applyFill="1" applyBorder="1" applyAlignment="1" applyProtection="1">
      <alignment horizontal="center"/>
      <protection locked="0"/>
    </xf>
    <xf numFmtId="9" fontId="17" fillId="3" borderId="0" xfId="1" applyFont="1" applyFill="1" applyBorder="1" applyAlignment="1" applyProtection="1">
      <alignment horizontal="center"/>
    </xf>
    <xf numFmtId="165" fontId="17" fillId="3" borderId="0" xfId="0" applyNumberFormat="1" applyFont="1" applyFill="1" applyAlignment="1" applyProtection="1">
      <alignment horizontal="center"/>
      <protection locked="0"/>
    </xf>
    <xf numFmtId="166" fontId="21" fillId="3" borderId="0" xfId="0" applyNumberFormat="1" applyFont="1" applyFill="1" applyAlignment="1">
      <alignment horizontal="center"/>
    </xf>
    <xf numFmtId="0" fontId="11" fillId="0" borderId="0" xfId="0" applyFont="1"/>
    <xf numFmtId="167" fontId="17" fillId="0" borderId="10" xfId="1" applyNumberFormat="1" applyFont="1" applyBorder="1" applyAlignment="1" applyProtection="1">
      <alignment horizontal="center"/>
    </xf>
    <xf numFmtId="167" fontId="17" fillId="3" borderId="0" xfId="1" applyNumberFormat="1" applyFont="1" applyFill="1" applyBorder="1" applyAlignment="1" applyProtection="1">
      <alignment horizontal="center"/>
    </xf>
    <xf numFmtId="166" fontId="21" fillId="3" borderId="15" xfId="0" applyNumberFormat="1" applyFont="1" applyFill="1" applyBorder="1" applyAlignment="1">
      <alignment horizontal="center"/>
    </xf>
    <xf numFmtId="167" fontId="11" fillId="3" borderId="16" xfId="0" applyNumberFormat="1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/>
    <xf numFmtId="164" fontId="4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/>
    <xf numFmtId="9" fontId="4" fillId="2" borderId="3" xfId="1" applyFont="1" applyFill="1" applyBorder="1" applyAlignment="1" applyProtection="1">
      <alignment horizontal="center" vertical="center"/>
    </xf>
    <xf numFmtId="9" fontId="4" fillId="2" borderId="4" xfId="1" applyFont="1" applyFill="1" applyBorder="1" applyAlignment="1" applyProtection="1">
      <alignment horizontal="center" vertical="center"/>
    </xf>
    <xf numFmtId="4" fontId="16" fillId="3" borderId="0" xfId="0" applyNumberFormat="1" applyFont="1" applyFill="1" applyAlignment="1">
      <alignment horizontal="center" vertical="center"/>
    </xf>
    <xf numFmtId="4" fontId="15" fillId="3" borderId="0" xfId="0" applyNumberFormat="1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0"/>
  <sheetViews>
    <sheetView showGridLines="0" topLeftCell="A9" workbookViewId="0">
      <selection activeCell="K20" sqref="K20"/>
    </sheetView>
  </sheetViews>
  <sheetFormatPr defaultRowHeight="14.5" x14ac:dyDescent="0.35"/>
  <cols>
    <col min="2" max="2" width="10.6328125" customWidth="1"/>
    <col min="3" max="4" width="15.90625" customWidth="1"/>
    <col min="5" max="5" width="8.36328125" customWidth="1"/>
    <col min="6" max="6" width="12.36328125" customWidth="1"/>
    <col min="7" max="7" width="10" customWidth="1"/>
    <col min="8" max="8" width="11.08984375" customWidth="1"/>
    <col min="9" max="9" width="13.08984375" customWidth="1"/>
    <col min="10" max="11" width="10.08984375" customWidth="1"/>
  </cols>
  <sheetData>
    <row r="1" spans="2:11" hidden="1" x14ac:dyDescent="0.35"/>
    <row r="2" spans="2:11" hidden="1" x14ac:dyDescent="0.35"/>
    <row r="3" spans="2:11" ht="15" hidden="1" thickBot="1" x14ac:dyDescent="0.4"/>
    <row r="4" spans="2:11" ht="16" hidden="1" thickBot="1" x14ac:dyDescent="0.4">
      <c r="B4" s="4"/>
      <c r="C4" s="23"/>
      <c r="D4" s="24" t="s">
        <v>5</v>
      </c>
      <c r="E4" s="114" t="s">
        <v>22</v>
      </c>
      <c r="F4" s="17" t="s">
        <v>5</v>
      </c>
      <c r="G4" s="18">
        <v>36</v>
      </c>
      <c r="H4" s="18">
        <v>36</v>
      </c>
      <c r="I4" s="18">
        <v>36</v>
      </c>
      <c r="J4" s="18">
        <v>36</v>
      </c>
      <c r="K4" s="18">
        <v>36</v>
      </c>
    </row>
    <row r="5" spans="2:11" ht="31.5" hidden="1" thickBot="1" x14ac:dyDescent="0.4">
      <c r="B5" s="5"/>
      <c r="C5" s="22" t="s">
        <v>14</v>
      </c>
      <c r="D5" s="25" t="s">
        <v>13</v>
      </c>
      <c r="E5" s="115"/>
      <c r="F5" s="26" t="s">
        <v>17</v>
      </c>
      <c r="G5" s="19">
        <v>9</v>
      </c>
      <c r="H5" s="19">
        <v>10</v>
      </c>
      <c r="I5" s="19">
        <v>11</v>
      </c>
      <c r="J5" s="19">
        <v>18</v>
      </c>
      <c r="K5" s="19">
        <v>22</v>
      </c>
    </row>
    <row r="6" spans="2:11" ht="15.5" hidden="1" x14ac:dyDescent="0.35">
      <c r="B6" s="5"/>
      <c r="C6" s="7"/>
      <c r="D6" s="7"/>
      <c r="E6" s="10"/>
      <c r="F6" s="20"/>
      <c r="G6" s="14"/>
      <c r="H6" s="14"/>
      <c r="I6" s="15"/>
      <c r="J6" s="15"/>
      <c r="K6" s="15"/>
    </row>
    <row r="7" spans="2:11" ht="16" hidden="1" thickBot="1" x14ac:dyDescent="0.4">
      <c r="B7" s="5"/>
      <c r="C7" s="8"/>
      <c r="D7" s="8" t="s">
        <v>6</v>
      </c>
      <c r="E7" s="12" t="s">
        <v>7</v>
      </c>
      <c r="F7" s="21" t="s">
        <v>6</v>
      </c>
      <c r="G7" s="16" t="s">
        <v>8</v>
      </c>
      <c r="H7" s="16" t="s">
        <v>9</v>
      </c>
      <c r="I7" s="16" t="s">
        <v>10</v>
      </c>
      <c r="J7" s="16" t="s">
        <v>11</v>
      </c>
      <c r="K7" s="16" t="s">
        <v>12</v>
      </c>
    </row>
    <row r="8" spans="2:11" ht="17.25" hidden="1" customHeight="1" x14ac:dyDescent="0.35">
      <c r="B8" s="5"/>
      <c r="C8" s="9"/>
      <c r="D8" s="9"/>
      <c r="E8" s="11"/>
      <c r="F8" s="6"/>
      <c r="G8" s="13"/>
      <c r="H8" s="13"/>
      <c r="I8" s="13"/>
      <c r="J8" s="13"/>
      <c r="K8" s="13"/>
    </row>
    <row r="9" spans="2:11" ht="17.25" customHeight="1" x14ac:dyDescent="0.35">
      <c r="B9" s="5"/>
      <c r="C9" s="9"/>
      <c r="D9" s="9"/>
      <c r="E9" s="11"/>
      <c r="F9" s="6"/>
      <c r="G9" s="13"/>
      <c r="H9" s="13"/>
      <c r="I9" s="13"/>
      <c r="J9" s="13"/>
      <c r="K9" s="13"/>
    </row>
    <row r="10" spans="2:11" s="33" customFormat="1" ht="43.5" x14ac:dyDescent="0.35">
      <c r="B10" s="27" t="s">
        <v>23</v>
      </c>
      <c r="C10" s="27" t="s">
        <v>24</v>
      </c>
      <c r="D10" s="27" t="s">
        <v>25</v>
      </c>
      <c r="E10" s="27" t="s">
        <v>26</v>
      </c>
      <c r="F10" s="32" t="s">
        <v>35</v>
      </c>
      <c r="G10" s="32" t="str">
        <f>E4</f>
        <v>Increase from 05.03.12</v>
      </c>
      <c r="H10" s="32" t="s">
        <v>37</v>
      </c>
      <c r="I10" s="32" t="s">
        <v>38</v>
      </c>
      <c r="J10" s="32" t="s">
        <v>36</v>
      </c>
    </row>
    <row r="11" spans="2:11" x14ac:dyDescent="0.35">
      <c r="B11" s="28" t="s">
        <v>31</v>
      </c>
      <c r="C11" s="29" t="s">
        <v>19</v>
      </c>
      <c r="D11" s="29" t="s">
        <v>32</v>
      </c>
      <c r="E11" s="30">
        <v>0.04</v>
      </c>
      <c r="F11" s="31">
        <v>449.233</v>
      </c>
      <c r="G11" s="31">
        <v>9.9818905999999998</v>
      </c>
      <c r="H11" s="31">
        <f>G11+F11</f>
        <v>459.21489059999999</v>
      </c>
      <c r="I11" s="31">
        <f>(H11/163.65924)*50</f>
        <v>140.29604762920809</v>
      </c>
      <c r="J11" s="31">
        <v>0.7</v>
      </c>
    </row>
    <row r="12" spans="2:11" x14ac:dyDescent="0.35">
      <c r="B12" s="28" t="s">
        <v>28</v>
      </c>
      <c r="C12" s="29" t="s">
        <v>19</v>
      </c>
      <c r="D12" s="29" t="s">
        <v>29</v>
      </c>
      <c r="E12" s="30">
        <v>3.7999999999999999E-2</v>
      </c>
      <c r="F12" s="31">
        <v>442.59</v>
      </c>
      <c r="G12" s="31">
        <v>18.989999999999998</v>
      </c>
      <c r="H12" s="31">
        <f>G12+F12</f>
        <v>461.58</v>
      </c>
      <c r="I12" s="31">
        <f>(H12/I$4)*I$5</f>
        <v>141.03833333333333</v>
      </c>
      <c r="J12" s="31">
        <v>0.9</v>
      </c>
    </row>
    <row r="13" spans="2:11" x14ac:dyDescent="0.35">
      <c r="B13" s="28" t="s">
        <v>27</v>
      </c>
      <c r="C13" s="29" t="s">
        <v>19</v>
      </c>
      <c r="D13" s="29" t="s">
        <v>30</v>
      </c>
      <c r="E13" s="30">
        <v>0.04</v>
      </c>
      <c r="F13" s="31">
        <v>446.96300000000002</v>
      </c>
      <c r="G13" s="31">
        <v>19.79</v>
      </c>
      <c r="H13" s="31">
        <f>G13+F13</f>
        <v>466.75300000000004</v>
      </c>
      <c r="I13" s="31">
        <f>(H13/I$4)*I$5</f>
        <v>142.61897222222225</v>
      </c>
      <c r="J13" s="31">
        <v>0.9</v>
      </c>
    </row>
    <row r="14" spans="2:11" x14ac:dyDescent="0.35">
      <c r="B14" s="28" t="s">
        <v>33</v>
      </c>
      <c r="C14" s="29" t="s">
        <v>19</v>
      </c>
      <c r="D14" s="29" t="s">
        <v>34</v>
      </c>
      <c r="E14" s="30">
        <v>0.04</v>
      </c>
      <c r="F14" s="31">
        <v>459.6</v>
      </c>
      <c r="G14" s="31">
        <v>19.989999999999998</v>
      </c>
      <c r="H14" s="31">
        <f>G14+F14</f>
        <v>479.59000000000003</v>
      </c>
      <c r="I14" s="31">
        <f>(H14/I$4)*I$5</f>
        <v>146.54138888888892</v>
      </c>
      <c r="J14" s="31">
        <v>1.5</v>
      </c>
    </row>
    <row r="17" spans="4:9" ht="43.5" x14ac:dyDescent="0.35">
      <c r="D17" s="27" t="s">
        <v>25</v>
      </c>
      <c r="E17" s="27" t="s">
        <v>26</v>
      </c>
      <c r="F17" s="32" t="s">
        <v>35</v>
      </c>
      <c r="G17" s="32" t="str">
        <f>G10</f>
        <v>Increase from 05.03.12</v>
      </c>
      <c r="H17" s="32" t="s">
        <v>37</v>
      </c>
      <c r="I17" s="32" t="s">
        <v>39</v>
      </c>
    </row>
    <row r="18" spans="4:9" x14ac:dyDescent="0.35">
      <c r="D18" s="29" t="s">
        <v>32</v>
      </c>
      <c r="E18" s="30">
        <v>0.04</v>
      </c>
      <c r="F18" s="31">
        <v>449.233</v>
      </c>
      <c r="G18" s="31">
        <v>9.9818905999999998</v>
      </c>
      <c r="H18" s="31">
        <f>G18+F18</f>
        <v>459.21489059999999</v>
      </c>
      <c r="I18" s="31">
        <f>-G18</f>
        <v>-9.9818905999999998</v>
      </c>
    </row>
    <row r="19" spans="4:9" x14ac:dyDescent="0.35">
      <c r="D19" s="29" t="e">
        <f>#REF!</f>
        <v>#REF!</v>
      </c>
      <c r="E19" s="30" t="e">
        <f>#REF!</f>
        <v>#REF!</v>
      </c>
      <c r="F19" s="31" t="e">
        <f>#REF!</f>
        <v>#REF!</v>
      </c>
      <c r="G19" s="31" t="e">
        <f>#REF!</f>
        <v>#REF!</v>
      </c>
      <c r="H19" s="31" t="e">
        <f>#REF!</f>
        <v>#REF!</v>
      </c>
      <c r="I19" s="31" t="e">
        <f>-G19</f>
        <v>#REF!</v>
      </c>
    </row>
    <row r="20" spans="4:9" x14ac:dyDescent="0.35">
      <c r="D20" s="29" t="e">
        <f>#REF!</f>
        <v>#REF!</v>
      </c>
      <c r="E20" s="30" t="e">
        <f>#REF!</f>
        <v>#REF!</v>
      </c>
      <c r="F20" s="31" t="e">
        <f>#REF!</f>
        <v>#REF!</v>
      </c>
      <c r="G20" s="31" t="e">
        <f>#REF!</f>
        <v>#REF!</v>
      </c>
      <c r="H20" s="31" t="e">
        <f>#REF!</f>
        <v>#REF!</v>
      </c>
      <c r="I20" s="31" t="e">
        <f>-G20</f>
        <v>#REF!</v>
      </c>
    </row>
  </sheetData>
  <mergeCells count="1"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7"/>
  <sheetViews>
    <sheetView tabSelected="1" zoomScale="70" zoomScaleNormal="70" workbookViewId="0">
      <pane ySplit="5" topLeftCell="A7" activePane="bottomLeft" state="frozen"/>
      <selection pane="bottomLeft" activeCell="F54" sqref="F54"/>
    </sheetView>
  </sheetViews>
  <sheetFormatPr defaultRowHeight="14.5" x14ac:dyDescent="0.35"/>
  <cols>
    <col min="1" max="1" width="19.1796875" customWidth="1"/>
    <col min="2" max="2" width="16.453125" customWidth="1"/>
    <col min="3" max="3" width="34.90625" customWidth="1"/>
    <col min="4" max="4" width="11.453125" customWidth="1"/>
    <col min="5" max="5" width="14.90625" style="36" bestFit="1" customWidth="1"/>
    <col min="6" max="6" width="21.08984375" style="36" bestFit="1" customWidth="1"/>
    <col min="7" max="7" width="15.08984375" style="36" customWidth="1"/>
    <col min="8" max="9" width="15.6328125" style="36" customWidth="1"/>
    <col min="10" max="10" width="15.36328125" style="36" customWidth="1"/>
    <col min="11" max="11" width="16.6328125" style="36" customWidth="1"/>
    <col min="12" max="12" width="15" bestFit="1" customWidth="1"/>
  </cols>
  <sheetData>
    <row r="1" spans="1:12" ht="15.5" x14ac:dyDescent="0.35">
      <c r="A1" s="47"/>
      <c r="B1" s="47"/>
      <c r="C1" s="2"/>
      <c r="D1" s="6"/>
      <c r="E1" s="35"/>
      <c r="F1" s="35"/>
      <c r="H1" s="37"/>
      <c r="I1" s="37"/>
      <c r="J1" s="72"/>
      <c r="K1" s="38"/>
    </row>
    <row r="2" spans="1:12" ht="28" x14ac:dyDescent="0.6">
      <c r="A2" s="1"/>
      <c r="B2" s="1"/>
      <c r="C2" s="110" t="s">
        <v>107</v>
      </c>
      <c r="D2" s="110"/>
      <c r="E2" s="110"/>
      <c r="F2" s="110"/>
      <c r="G2" s="111"/>
      <c r="H2" s="111"/>
      <c r="I2" s="45" t="s">
        <v>66</v>
      </c>
      <c r="J2" s="69"/>
      <c r="K2" s="46" t="s">
        <v>67</v>
      </c>
      <c r="L2" s="70"/>
    </row>
    <row r="3" spans="1:12" ht="24.75" customHeight="1" thickBot="1" x14ac:dyDescent="0.4">
      <c r="A3" s="34"/>
      <c r="B3" s="34"/>
      <c r="C3" s="2"/>
      <c r="D3" s="6"/>
      <c r="E3" s="55"/>
      <c r="F3" s="35"/>
      <c r="H3" s="37"/>
      <c r="I3" s="37"/>
      <c r="J3" s="38"/>
      <c r="K3" s="38"/>
    </row>
    <row r="4" spans="1:12" ht="25.5" customHeight="1" x14ac:dyDescent="0.35">
      <c r="A4" s="3"/>
      <c r="B4" s="112" t="s">
        <v>73</v>
      </c>
      <c r="C4" s="112" t="s">
        <v>55</v>
      </c>
      <c r="D4" s="112" t="s">
        <v>14</v>
      </c>
      <c r="E4" s="48" t="s">
        <v>5</v>
      </c>
      <c r="F4" s="49" t="s">
        <v>101</v>
      </c>
      <c r="G4" s="49" t="s">
        <v>41</v>
      </c>
      <c r="H4" s="49" t="s">
        <v>43</v>
      </c>
      <c r="I4" s="49" t="s">
        <v>61</v>
      </c>
      <c r="J4" s="49" t="s">
        <v>45</v>
      </c>
      <c r="K4" s="50" t="s">
        <v>44</v>
      </c>
    </row>
    <row r="5" spans="1:12" ht="22.5" customHeight="1" thickBot="1" x14ac:dyDescent="0.5">
      <c r="A5" s="3"/>
      <c r="B5" s="113"/>
      <c r="C5" s="113"/>
      <c r="D5" s="113"/>
      <c r="E5" s="51" t="s">
        <v>56</v>
      </c>
      <c r="F5" s="52" t="s">
        <v>40</v>
      </c>
      <c r="G5" s="52" t="s">
        <v>42</v>
      </c>
      <c r="H5" s="52" t="s">
        <v>60</v>
      </c>
      <c r="I5" s="52" t="s">
        <v>62</v>
      </c>
      <c r="J5" s="53" t="s">
        <v>46</v>
      </c>
      <c r="K5" s="54"/>
    </row>
    <row r="7" spans="1:12" s="77" customFormat="1" x14ac:dyDescent="0.35">
      <c r="A7" s="74" t="s">
        <v>19</v>
      </c>
      <c r="B7" s="75">
        <v>90425</v>
      </c>
      <c r="C7" s="76" t="s">
        <v>0</v>
      </c>
      <c r="D7" s="91">
        <v>0.04</v>
      </c>
      <c r="E7" s="56">
        <v>641.62</v>
      </c>
      <c r="F7" s="56">
        <v>314.33</v>
      </c>
      <c r="G7" s="56">
        <f>E7-F7</f>
        <v>327.29000000000002</v>
      </c>
      <c r="H7" s="82">
        <f>((E7-J7)/36)*11</f>
        <v>196.05055555555555</v>
      </c>
      <c r="I7" s="82">
        <f>(H7/88)</f>
        <v>2.2278472222222221</v>
      </c>
      <c r="J7" s="83"/>
      <c r="K7" s="56">
        <f>F7-J7</f>
        <v>314.33</v>
      </c>
    </row>
    <row r="8" spans="1:12" s="77" customFormat="1" x14ac:dyDescent="0.35">
      <c r="A8" s="74"/>
      <c r="B8" s="75">
        <v>400889</v>
      </c>
      <c r="C8" s="76" t="s">
        <v>21</v>
      </c>
      <c r="D8" s="91">
        <v>3.4000000000000002E-2</v>
      </c>
      <c r="E8" s="56">
        <v>538.39</v>
      </c>
      <c r="F8" s="56">
        <v>302.97000000000003</v>
      </c>
      <c r="G8" s="56">
        <f>E8-F8</f>
        <v>235.41999999999996</v>
      </c>
      <c r="H8" s="82">
        <f>((E8-J8)/36)*11</f>
        <v>164.50805555555556</v>
      </c>
      <c r="I8" s="82">
        <f t="shared" ref="I8:I45" si="0">(H8/88)</f>
        <v>1.8694097222222223</v>
      </c>
      <c r="J8" s="83"/>
      <c r="K8" s="56">
        <f>F8-J8</f>
        <v>302.97000000000003</v>
      </c>
    </row>
    <row r="9" spans="1:12" s="77" customFormat="1" x14ac:dyDescent="0.35">
      <c r="A9" s="74"/>
      <c r="B9" s="75" t="s">
        <v>109</v>
      </c>
      <c r="C9" s="76" t="s">
        <v>108</v>
      </c>
      <c r="D9" s="91">
        <v>3.4000000000000002E-2</v>
      </c>
      <c r="E9" s="56">
        <v>796.51</v>
      </c>
      <c r="F9" s="56">
        <v>410</v>
      </c>
      <c r="G9" s="56">
        <f>E9-F9</f>
        <v>386.51</v>
      </c>
      <c r="H9" s="82">
        <f>((E9-J9)/36)*11</f>
        <v>243.37805555555556</v>
      </c>
      <c r="I9" s="82">
        <f>(H9/88)</f>
        <v>2.7656597222222223</v>
      </c>
      <c r="J9" s="83"/>
      <c r="K9" s="56">
        <f>F9-J9</f>
        <v>410</v>
      </c>
    </row>
    <row r="10" spans="1:12" s="77" customFormat="1" x14ac:dyDescent="0.35">
      <c r="A10" s="75"/>
      <c r="B10" s="75"/>
      <c r="C10" s="78"/>
      <c r="D10" s="79"/>
      <c r="E10" s="73"/>
      <c r="F10" s="73"/>
      <c r="G10" s="73"/>
      <c r="H10" s="80"/>
      <c r="I10" s="80"/>
      <c r="J10" s="81"/>
      <c r="K10" s="73"/>
    </row>
    <row r="11" spans="1:12" s="77" customFormat="1" x14ac:dyDescent="0.35">
      <c r="A11" s="74" t="s">
        <v>20</v>
      </c>
      <c r="B11" s="75" t="s">
        <v>95</v>
      </c>
      <c r="C11" s="78" t="s">
        <v>49</v>
      </c>
      <c r="D11" s="91">
        <v>4.8000000000000001E-2</v>
      </c>
      <c r="E11" s="56">
        <v>788.01</v>
      </c>
      <c r="F11" s="56">
        <v>370.14</v>
      </c>
      <c r="G11" s="56">
        <f t="shared" ref="G11:G17" si="1">E11-F11</f>
        <v>417.87</v>
      </c>
      <c r="H11" s="82">
        <f t="shared" ref="H11:H17" si="2">((E11-J11)/36)*11</f>
        <v>240.78083333333336</v>
      </c>
      <c r="I11" s="82">
        <f>(H11/88)</f>
        <v>2.7361458333333335</v>
      </c>
      <c r="J11" s="83"/>
      <c r="K11" s="56">
        <f t="shared" ref="K11:K17" si="3">F11-J11</f>
        <v>370.14</v>
      </c>
    </row>
    <row r="12" spans="1:12" s="77" customFormat="1" x14ac:dyDescent="0.35">
      <c r="A12" s="74"/>
      <c r="B12" s="75">
        <v>400557</v>
      </c>
      <c r="C12" s="78" t="s">
        <v>51</v>
      </c>
      <c r="D12" s="91">
        <v>4.8000000000000001E-2</v>
      </c>
      <c r="E12" s="56">
        <v>805.6</v>
      </c>
      <c r="F12" s="56">
        <v>332</v>
      </c>
      <c r="G12" s="56">
        <f t="shared" si="1"/>
        <v>473.6</v>
      </c>
      <c r="H12" s="82">
        <f t="shared" si="2"/>
        <v>246.15555555555557</v>
      </c>
      <c r="I12" s="82">
        <f>(H12/88)</f>
        <v>2.7972222222222225</v>
      </c>
      <c r="J12" s="83"/>
      <c r="K12" s="56">
        <f t="shared" si="3"/>
        <v>332</v>
      </c>
    </row>
    <row r="13" spans="1:12" s="77" customFormat="1" x14ac:dyDescent="0.35">
      <c r="A13" s="74"/>
      <c r="B13" s="75" t="s">
        <v>113</v>
      </c>
      <c r="C13" s="78" t="s">
        <v>112</v>
      </c>
      <c r="D13" s="91">
        <v>4.5999999999999999E-2</v>
      </c>
      <c r="E13" s="56">
        <v>778.62</v>
      </c>
      <c r="F13" s="56">
        <v>350</v>
      </c>
      <c r="G13" s="56">
        <f t="shared" si="1"/>
        <v>428.62</v>
      </c>
      <c r="H13" s="82">
        <f t="shared" si="2"/>
        <v>237.91166666666666</v>
      </c>
      <c r="I13" s="82">
        <f>(H13/88)</f>
        <v>2.7035416666666667</v>
      </c>
      <c r="J13" s="83"/>
      <c r="K13" s="56">
        <f t="shared" si="3"/>
        <v>350</v>
      </c>
    </row>
    <row r="14" spans="1:12" s="77" customFormat="1" x14ac:dyDescent="0.35">
      <c r="A14" s="74"/>
      <c r="B14" s="84" t="s">
        <v>79</v>
      </c>
      <c r="C14" s="76" t="s">
        <v>18</v>
      </c>
      <c r="D14" s="91">
        <v>4.5999999999999999E-2</v>
      </c>
      <c r="E14" s="56">
        <v>960.76</v>
      </c>
      <c r="F14" s="56">
        <v>560</v>
      </c>
      <c r="G14" s="56">
        <f t="shared" si="1"/>
        <v>400.76</v>
      </c>
      <c r="H14" s="82">
        <f t="shared" si="2"/>
        <v>293.56555555555559</v>
      </c>
      <c r="I14" s="82">
        <f>(H14/88)</f>
        <v>3.3359722222222228</v>
      </c>
      <c r="J14" s="83"/>
      <c r="K14" s="56">
        <f t="shared" si="3"/>
        <v>560</v>
      </c>
    </row>
    <row r="15" spans="1:12" s="77" customFormat="1" x14ac:dyDescent="0.35">
      <c r="A15" s="74"/>
      <c r="B15" s="84" t="s">
        <v>105</v>
      </c>
      <c r="C15" s="76" t="s">
        <v>103</v>
      </c>
      <c r="D15" s="91">
        <v>4.8000000000000001E-2</v>
      </c>
      <c r="E15" s="56">
        <v>1031.49</v>
      </c>
      <c r="F15" s="56">
        <v>530</v>
      </c>
      <c r="G15" s="56">
        <f t="shared" si="1"/>
        <v>501.49</v>
      </c>
      <c r="H15" s="82">
        <f t="shared" si="2"/>
        <v>315.17750000000001</v>
      </c>
      <c r="I15" s="82">
        <f t="shared" ref="I15:I17" si="4">(H15/88)</f>
        <v>3.5815625</v>
      </c>
      <c r="J15" s="83"/>
      <c r="K15" s="56">
        <f t="shared" si="3"/>
        <v>530</v>
      </c>
    </row>
    <row r="16" spans="1:12" s="77" customFormat="1" x14ac:dyDescent="0.35">
      <c r="A16" s="74"/>
      <c r="B16" s="84" t="s">
        <v>106</v>
      </c>
      <c r="C16" s="76" t="s">
        <v>104</v>
      </c>
      <c r="D16" s="91">
        <v>0.05</v>
      </c>
      <c r="E16" s="56">
        <v>638.73</v>
      </c>
      <c r="F16" s="56">
        <v>170</v>
      </c>
      <c r="G16" s="56">
        <f t="shared" si="1"/>
        <v>468.73</v>
      </c>
      <c r="H16" s="82">
        <f t="shared" si="2"/>
        <v>195.16749999999999</v>
      </c>
      <c r="I16" s="82">
        <f t="shared" si="4"/>
        <v>2.2178125</v>
      </c>
      <c r="J16" s="83"/>
      <c r="K16" s="56">
        <f t="shared" si="3"/>
        <v>170</v>
      </c>
    </row>
    <row r="17" spans="1:11" s="77" customFormat="1" x14ac:dyDescent="0.35">
      <c r="A17" s="74"/>
      <c r="B17" s="75" t="s">
        <v>80</v>
      </c>
      <c r="C17" s="78" t="s">
        <v>16</v>
      </c>
      <c r="D17" s="91">
        <v>4.5999999999999999E-2</v>
      </c>
      <c r="E17" s="56">
        <v>1052.98</v>
      </c>
      <c r="F17" s="56">
        <v>491</v>
      </c>
      <c r="G17" s="56">
        <f t="shared" si="1"/>
        <v>561.98</v>
      </c>
      <c r="H17" s="82">
        <f t="shared" si="2"/>
        <v>321.74388888888893</v>
      </c>
      <c r="I17" s="82">
        <f t="shared" si="4"/>
        <v>3.6561805555555562</v>
      </c>
      <c r="J17" s="83"/>
      <c r="K17" s="56">
        <f t="shared" si="3"/>
        <v>491</v>
      </c>
    </row>
    <row r="18" spans="1:11" s="77" customFormat="1" x14ac:dyDescent="0.35">
      <c r="A18" s="75"/>
      <c r="B18" s="75"/>
      <c r="C18" s="76"/>
      <c r="D18" s="85"/>
      <c r="E18" s="73">
        <v>659.87</v>
      </c>
      <c r="F18" s="73"/>
      <c r="G18" s="73"/>
      <c r="H18" s="80"/>
      <c r="I18" s="80"/>
      <c r="J18" s="81"/>
      <c r="K18" s="73"/>
    </row>
    <row r="19" spans="1:11" s="77" customFormat="1" x14ac:dyDescent="0.35">
      <c r="A19" s="75"/>
      <c r="B19" s="86" t="s">
        <v>96</v>
      </c>
      <c r="C19" s="76" t="s">
        <v>52</v>
      </c>
      <c r="D19" s="98">
        <v>0.04</v>
      </c>
      <c r="E19" s="56">
        <v>671.19</v>
      </c>
      <c r="F19" s="88">
        <v>228.34779999999998</v>
      </c>
      <c r="G19" s="88">
        <f t="shared" ref="G19:G27" si="5">E19-F19</f>
        <v>442.84220000000005</v>
      </c>
      <c r="H19" s="82">
        <f t="shared" ref="H19:H25" si="6">((E19-J19)/36)*11</f>
        <v>205.08583333333334</v>
      </c>
      <c r="I19" s="82">
        <f t="shared" si="0"/>
        <v>2.3305208333333334</v>
      </c>
      <c r="J19" s="83"/>
      <c r="K19" s="56">
        <f t="shared" ref="K19:K27" si="7">F19-J19</f>
        <v>228.34779999999998</v>
      </c>
    </row>
    <row r="20" spans="1:11" s="77" customFormat="1" x14ac:dyDescent="0.35">
      <c r="A20" s="87" t="s">
        <v>53</v>
      </c>
      <c r="B20" s="75" t="s">
        <v>97</v>
      </c>
      <c r="C20" s="76" t="s">
        <v>50</v>
      </c>
      <c r="D20" s="91">
        <v>5.5E-2</v>
      </c>
      <c r="E20" s="56">
        <v>643.99</v>
      </c>
      <c r="F20" s="88">
        <v>187.43134999999995</v>
      </c>
      <c r="G20" s="88">
        <f t="shared" si="5"/>
        <v>456.55865000000006</v>
      </c>
      <c r="H20" s="82">
        <f t="shared" si="6"/>
        <v>196.77472222222221</v>
      </c>
      <c r="I20" s="82">
        <f t="shared" si="0"/>
        <v>2.2360763888888888</v>
      </c>
      <c r="J20" s="83"/>
      <c r="K20" s="56">
        <f t="shared" si="7"/>
        <v>187.43134999999995</v>
      </c>
    </row>
    <row r="21" spans="1:11" s="77" customFormat="1" x14ac:dyDescent="0.35">
      <c r="A21" s="74"/>
      <c r="B21" s="75" t="s">
        <v>83</v>
      </c>
      <c r="C21" s="76" t="s">
        <v>68</v>
      </c>
      <c r="D21" s="91">
        <v>0.05</v>
      </c>
      <c r="E21" s="56">
        <v>643.99</v>
      </c>
      <c r="F21" s="88">
        <v>153.47055</v>
      </c>
      <c r="G21" s="88">
        <f t="shared" si="5"/>
        <v>490.51945000000001</v>
      </c>
      <c r="H21" s="82">
        <f t="shared" si="6"/>
        <v>196.77472222222221</v>
      </c>
      <c r="I21" s="82">
        <f t="shared" si="0"/>
        <v>2.2360763888888888</v>
      </c>
      <c r="J21" s="83"/>
      <c r="K21" s="56">
        <f t="shared" si="7"/>
        <v>153.47055</v>
      </c>
    </row>
    <row r="22" spans="1:11" s="77" customFormat="1" x14ac:dyDescent="0.35">
      <c r="A22" s="74"/>
      <c r="B22" s="75" t="s">
        <v>118</v>
      </c>
      <c r="C22" s="76" t="s">
        <v>100</v>
      </c>
      <c r="D22" s="91">
        <v>4.4999999999999998E-2</v>
      </c>
      <c r="E22" s="56">
        <v>686.7</v>
      </c>
      <c r="F22" s="56">
        <v>150</v>
      </c>
      <c r="G22" s="56">
        <f t="shared" si="5"/>
        <v>536.70000000000005</v>
      </c>
      <c r="H22" s="82">
        <f t="shared" si="6"/>
        <v>209.82500000000005</v>
      </c>
      <c r="I22" s="82">
        <f>(H22/54)</f>
        <v>3.8856481481481491</v>
      </c>
      <c r="J22" s="83"/>
      <c r="K22" s="56">
        <f t="shared" si="7"/>
        <v>150</v>
      </c>
    </row>
    <row r="23" spans="1:11" s="77" customFormat="1" x14ac:dyDescent="0.35">
      <c r="A23" s="74"/>
      <c r="B23" s="75" t="s">
        <v>116</v>
      </c>
      <c r="C23" s="76" t="s">
        <v>117</v>
      </c>
      <c r="D23" s="91">
        <v>4.4999999999999998E-2</v>
      </c>
      <c r="E23" s="56">
        <v>675.09</v>
      </c>
      <c r="F23" s="56"/>
      <c r="G23" s="56">
        <f t="shared" ref="G23" si="8">E23-F23</f>
        <v>675.09</v>
      </c>
      <c r="H23" s="82">
        <f t="shared" ref="H23" si="9">((E23-J23)/36)*11</f>
        <v>206.2775</v>
      </c>
      <c r="I23" s="82">
        <f>(H23/54)</f>
        <v>3.8199537037037037</v>
      </c>
      <c r="J23" s="83"/>
      <c r="K23" s="56">
        <f t="shared" si="7"/>
        <v>0</v>
      </c>
    </row>
    <row r="24" spans="1:11" s="77" customFormat="1" x14ac:dyDescent="0.35">
      <c r="A24" s="74"/>
      <c r="B24" s="75" t="s">
        <v>85</v>
      </c>
      <c r="C24" s="76" t="s">
        <v>98</v>
      </c>
      <c r="D24" s="91">
        <v>4.5999999999999999E-2</v>
      </c>
      <c r="E24" s="56">
        <v>778.81</v>
      </c>
      <c r="F24" s="88">
        <v>310</v>
      </c>
      <c r="G24" s="88">
        <f t="shared" si="5"/>
        <v>468.80999999999995</v>
      </c>
      <c r="H24" s="82">
        <f t="shared" si="6"/>
        <v>237.96972222222217</v>
      </c>
      <c r="I24" s="82">
        <f t="shared" si="0"/>
        <v>2.7042013888888885</v>
      </c>
      <c r="J24" s="83"/>
      <c r="K24" s="56">
        <f t="shared" si="7"/>
        <v>310</v>
      </c>
    </row>
    <row r="25" spans="1:11" s="77" customFormat="1" x14ac:dyDescent="0.35">
      <c r="A25" s="74"/>
      <c r="B25" s="75" t="s">
        <v>86</v>
      </c>
      <c r="C25" s="76" t="s">
        <v>99</v>
      </c>
      <c r="D25" s="91">
        <v>4.2000000000000003E-2</v>
      </c>
      <c r="E25" s="56">
        <v>804.94</v>
      </c>
      <c r="F25" s="88">
        <v>250</v>
      </c>
      <c r="G25" s="88">
        <f t="shared" si="5"/>
        <v>554.94000000000005</v>
      </c>
      <c r="H25" s="82">
        <f t="shared" si="6"/>
        <v>245.95388888888891</v>
      </c>
      <c r="I25" s="82">
        <f t="shared" si="0"/>
        <v>2.7949305555555557</v>
      </c>
      <c r="J25" s="83"/>
      <c r="K25" s="56">
        <f t="shared" si="7"/>
        <v>250</v>
      </c>
    </row>
    <row r="26" spans="1:11" s="77" customFormat="1" x14ac:dyDescent="0.35">
      <c r="A26" s="74"/>
      <c r="B26" s="75" t="s">
        <v>90</v>
      </c>
      <c r="C26" s="76" t="s">
        <v>88</v>
      </c>
      <c r="D26" s="91">
        <v>0.04</v>
      </c>
      <c r="E26" s="56">
        <v>762.18</v>
      </c>
      <c r="F26" s="88">
        <v>200</v>
      </c>
      <c r="G26" s="88">
        <f t="shared" si="5"/>
        <v>562.17999999999995</v>
      </c>
      <c r="H26" s="82">
        <f t="shared" ref="H26:H27" si="10">((E26-J26)/36)*6.6</f>
        <v>139.733</v>
      </c>
      <c r="I26" s="82">
        <f t="shared" ref="I26:I27" si="11">H26/54</f>
        <v>2.5876481481481481</v>
      </c>
      <c r="J26" s="83"/>
      <c r="K26" s="56">
        <f t="shared" si="7"/>
        <v>200</v>
      </c>
    </row>
    <row r="27" spans="1:11" s="77" customFormat="1" x14ac:dyDescent="0.35">
      <c r="A27" s="74"/>
      <c r="B27" s="75" t="s">
        <v>91</v>
      </c>
      <c r="C27" s="76" t="s">
        <v>89</v>
      </c>
      <c r="D27" s="91">
        <v>0.04</v>
      </c>
      <c r="E27" s="56">
        <v>762.18</v>
      </c>
      <c r="F27" s="88">
        <v>200</v>
      </c>
      <c r="G27" s="88">
        <f t="shared" si="5"/>
        <v>562.17999999999995</v>
      </c>
      <c r="H27" s="82">
        <f t="shared" si="10"/>
        <v>139.733</v>
      </c>
      <c r="I27" s="82">
        <f t="shared" si="11"/>
        <v>2.5876481481481481</v>
      </c>
      <c r="J27" s="83"/>
      <c r="K27" s="56">
        <f t="shared" si="7"/>
        <v>200</v>
      </c>
    </row>
    <row r="28" spans="1:11" s="77" customFormat="1" x14ac:dyDescent="0.35">
      <c r="A28" s="74"/>
      <c r="B28" s="75"/>
      <c r="C28" s="78"/>
      <c r="D28" s="85"/>
      <c r="E28" s="73"/>
      <c r="F28" s="73"/>
      <c r="G28" s="73"/>
      <c r="H28" s="80"/>
      <c r="I28" s="80"/>
      <c r="J28" s="81"/>
      <c r="K28" s="73"/>
    </row>
    <row r="29" spans="1:11" s="77" customFormat="1" ht="15.5" customHeight="1" x14ac:dyDescent="0.35">
      <c r="A29" s="75"/>
      <c r="B29" s="86">
        <v>400076</v>
      </c>
      <c r="C29" s="78" t="s">
        <v>15</v>
      </c>
      <c r="D29" s="91">
        <v>3.2000000000000001E-2</v>
      </c>
      <c r="E29" s="56">
        <v>469.54</v>
      </c>
      <c r="F29" s="56">
        <v>244.02</v>
      </c>
      <c r="G29" s="56">
        <f t="shared" ref="G29:G37" si="12">E29-F29</f>
        <v>225.52</v>
      </c>
      <c r="H29" s="82">
        <f t="shared" ref="H29:H34" si="13">((E29-J29)/36)*11</f>
        <v>143.47055555555556</v>
      </c>
      <c r="I29" s="82">
        <f t="shared" si="0"/>
        <v>1.6303472222222224</v>
      </c>
      <c r="J29" s="83"/>
      <c r="K29" s="56">
        <f t="shared" ref="K29:K37" si="14">F29-J29</f>
        <v>244.02</v>
      </c>
    </row>
    <row r="30" spans="1:11" s="77" customFormat="1" x14ac:dyDescent="0.35">
      <c r="A30" s="87" t="s">
        <v>1</v>
      </c>
      <c r="B30" s="75">
        <v>4723</v>
      </c>
      <c r="C30" s="78" t="s">
        <v>72</v>
      </c>
      <c r="D30" s="91">
        <v>4.2000000000000003E-2</v>
      </c>
      <c r="E30" s="56">
        <v>606.46</v>
      </c>
      <c r="F30" s="56">
        <v>315.55</v>
      </c>
      <c r="G30" s="56">
        <f t="shared" si="12"/>
        <v>290.91000000000003</v>
      </c>
      <c r="H30" s="82">
        <f t="shared" si="13"/>
        <v>185.30722222222226</v>
      </c>
      <c r="I30" s="82">
        <f t="shared" si="0"/>
        <v>2.1057638888888892</v>
      </c>
      <c r="J30" s="83"/>
      <c r="K30" s="56">
        <f t="shared" si="14"/>
        <v>315.55</v>
      </c>
    </row>
    <row r="31" spans="1:11" s="77" customFormat="1" x14ac:dyDescent="0.35">
      <c r="A31" s="74"/>
      <c r="B31" s="75">
        <v>401152</v>
      </c>
      <c r="C31" s="78" t="s">
        <v>71</v>
      </c>
      <c r="D31" s="91">
        <v>3.4000000000000002E-2</v>
      </c>
      <c r="E31" s="56">
        <v>475.18</v>
      </c>
      <c r="F31" s="56">
        <v>194.66</v>
      </c>
      <c r="G31" s="56">
        <f t="shared" si="12"/>
        <v>280.52</v>
      </c>
      <c r="H31" s="82">
        <f t="shared" si="13"/>
        <v>145.19388888888889</v>
      </c>
      <c r="I31" s="82">
        <f t="shared" si="0"/>
        <v>1.6499305555555557</v>
      </c>
      <c r="J31" s="83"/>
      <c r="K31" s="56">
        <f t="shared" si="14"/>
        <v>194.66</v>
      </c>
    </row>
    <row r="32" spans="1:11" s="77" customFormat="1" x14ac:dyDescent="0.35">
      <c r="A32" s="74"/>
      <c r="B32" s="75">
        <v>4790</v>
      </c>
      <c r="C32" s="76" t="s">
        <v>70</v>
      </c>
      <c r="D32" s="91">
        <v>3.1E-2</v>
      </c>
      <c r="E32" s="56">
        <v>447.12</v>
      </c>
      <c r="F32" s="56">
        <v>271.57</v>
      </c>
      <c r="G32" s="56">
        <f t="shared" si="12"/>
        <v>175.55</v>
      </c>
      <c r="H32" s="82">
        <f t="shared" si="13"/>
        <v>136.62</v>
      </c>
      <c r="I32" s="82">
        <f t="shared" si="0"/>
        <v>1.5525</v>
      </c>
      <c r="J32" s="83"/>
      <c r="K32" s="56">
        <f t="shared" si="14"/>
        <v>271.57</v>
      </c>
    </row>
    <row r="33" spans="1:11" s="77" customFormat="1" x14ac:dyDescent="0.35">
      <c r="A33" s="74"/>
      <c r="B33" s="84" t="s">
        <v>119</v>
      </c>
      <c r="C33" s="78" t="s">
        <v>2</v>
      </c>
      <c r="D33" s="99">
        <v>4.1000000000000002E-2</v>
      </c>
      <c r="E33" s="56">
        <v>779.24</v>
      </c>
      <c r="F33" s="56">
        <v>249</v>
      </c>
      <c r="G33" s="56">
        <f t="shared" si="12"/>
        <v>530.24</v>
      </c>
      <c r="H33" s="82">
        <f t="shared" si="13"/>
        <v>238.10111111111112</v>
      </c>
      <c r="I33" s="82">
        <f t="shared" si="0"/>
        <v>2.7056944444444446</v>
      </c>
      <c r="J33" s="83"/>
      <c r="K33" s="56">
        <f t="shared" si="14"/>
        <v>249</v>
      </c>
    </row>
    <row r="34" spans="1:11" s="77" customFormat="1" x14ac:dyDescent="0.35">
      <c r="A34" s="74"/>
      <c r="B34" s="84" t="s">
        <v>114</v>
      </c>
      <c r="C34" s="78" t="s">
        <v>115</v>
      </c>
      <c r="D34" s="99">
        <v>0.04</v>
      </c>
      <c r="E34" s="56">
        <v>654.64</v>
      </c>
      <c r="F34" s="56">
        <v>245</v>
      </c>
      <c r="G34" s="56">
        <f t="shared" si="12"/>
        <v>409.64</v>
      </c>
      <c r="H34" s="82">
        <f t="shared" si="13"/>
        <v>200.0288888888889</v>
      </c>
      <c r="I34" s="82">
        <f t="shared" si="0"/>
        <v>2.2730555555555556</v>
      </c>
      <c r="J34" s="83"/>
      <c r="K34" s="56">
        <f t="shared" si="14"/>
        <v>245</v>
      </c>
    </row>
    <row r="35" spans="1:11" s="77" customFormat="1" x14ac:dyDescent="0.35">
      <c r="A35" s="74"/>
      <c r="B35" s="75" t="s">
        <v>77</v>
      </c>
      <c r="C35" s="89" t="s">
        <v>47</v>
      </c>
      <c r="D35" s="100">
        <v>4.4999999999999998E-2</v>
      </c>
      <c r="E35" s="56">
        <v>770.94</v>
      </c>
      <c r="F35" s="56">
        <v>327.52999999999997</v>
      </c>
      <c r="G35" s="56">
        <f t="shared" si="12"/>
        <v>443.41000000000008</v>
      </c>
      <c r="H35" s="82">
        <f>((E35-J35)/36)*11</f>
        <v>235.56500000000003</v>
      </c>
      <c r="I35" s="82">
        <f t="shared" si="0"/>
        <v>2.6768750000000003</v>
      </c>
      <c r="J35" s="83"/>
      <c r="K35" s="56">
        <f t="shared" si="14"/>
        <v>327.52999999999997</v>
      </c>
    </row>
    <row r="36" spans="1:11" s="77" customFormat="1" x14ac:dyDescent="0.35">
      <c r="A36" s="74"/>
      <c r="B36" s="75" t="s">
        <v>76</v>
      </c>
      <c r="C36" s="89" t="s">
        <v>48</v>
      </c>
      <c r="D36" s="100">
        <v>4.2000000000000003E-2</v>
      </c>
      <c r="E36" s="56">
        <v>756.28</v>
      </c>
      <c r="F36" s="58">
        <v>319</v>
      </c>
      <c r="G36" s="56">
        <f t="shared" si="12"/>
        <v>437.28</v>
      </c>
      <c r="H36" s="82">
        <f>((E36-J36)/36)*11</f>
        <v>231.08555555555552</v>
      </c>
      <c r="I36" s="82">
        <f t="shared" si="0"/>
        <v>2.6259722222222219</v>
      </c>
      <c r="J36" s="83"/>
      <c r="K36" s="56">
        <f t="shared" si="14"/>
        <v>319</v>
      </c>
    </row>
    <row r="37" spans="1:11" s="77" customFormat="1" x14ac:dyDescent="0.35">
      <c r="A37" s="74"/>
      <c r="B37" s="75" t="s">
        <v>110</v>
      </c>
      <c r="C37" s="89" t="s">
        <v>111</v>
      </c>
      <c r="D37" s="108">
        <v>3.6999999999999998E-2</v>
      </c>
      <c r="E37" s="56">
        <v>718.11</v>
      </c>
      <c r="F37" s="58">
        <v>222</v>
      </c>
      <c r="G37" s="56">
        <f t="shared" si="12"/>
        <v>496.11</v>
      </c>
      <c r="H37" s="82">
        <f>((E37-J37)/36)*11</f>
        <v>219.42250000000001</v>
      </c>
      <c r="I37" s="82">
        <f t="shared" si="0"/>
        <v>2.4934375000000002</v>
      </c>
      <c r="J37" s="83"/>
      <c r="K37" s="109">
        <f t="shared" si="14"/>
        <v>222</v>
      </c>
    </row>
    <row r="38" spans="1:11" s="77" customFormat="1" ht="12" customHeight="1" x14ac:dyDescent="0.35">
      <c r="A38" s="74"/>
      <c r="B38" s="75"/>
      <c r="C38" s="78"/>
      <c r="D38" s="90"/>
      <c r="E38" s="73"/>
      <c r="F38" s="73"/>
      <c r="G38" s="73"/>
      <c r="H38" s="80"/>
      <c r="I38" s="80"/>
      <c r="J38" s="81"/>
      <c r="K38" s="73"/>
    </row>
    <row r="39" spans="1:11" s="77" customFormat="1" x14ac:dyDescent="0.35">
      <c r="A39" s="75"/>
      <c r="B39" s="75">
        <v>401172</v>
      </c>
      <c r="C39" s="78" t="s">
        <v>54</v>
      </c>
      <c r="D39" s="91">
        <v>4.4999999999999998E-2</v>
      </c>
      <c r="E39" s="56">
        <v>634.61</v>
      </c>
      <c r="F39" s="58">
        <v>332.19</v>
      </c>
      <c r="G39" s="56">
        <f t="shared" ref="G39:G45" si="15">E39-F39</f>
        <v>302.42</v>
      </c>
      <c r="H39" s="82">
        <f t="shared" ref="H39:H45" si="16">((E39-J39)/36)*11</f>
        <v>193.9086111111111</v>
      </c>
      <c r="I39" s="82">
        <f t="shared" si="0"/>
        <v>2.2035069444444444</v>
      </c>
      <c r="J39" s="83"/>
      <c r="K39" s="56">
        <f t="shared" ref="K39:K45" si="17">F39-J39</f>
        <v>332.19</v>
      </c>
    </row>
    <row r="40" spans="1:11" s="77" customFormat="1" x14ac:dyDescent="0.35">
      <c r="A40" s="75"/>
      <c r="B40" s="75">
        <v>401188</v>
      </c>
      <c r="C40" s="78" t="s">
        <v>94</v>
      </c>
      <c r="D40" s="91">
        <v>0.04</v>
      </c>
      <c r="E40" s="56">
        <v>860.72</v>
      </c>
      <c r="F40" s="58">
        <v>532.76</v>
      </c>
      <c r="G40" s="56">
        <f t="shared" si="15"/>
        <v>327.96000000000004</v>
      </c>
      <c r="H40" s="82">
        <f t="shared" si="16"/>
        <v>262.9977777777778</v>
      </c>
      <c r="I40" s="82">
        <f t="shared" si="0"/>
        <v>2.9886111111111116</v>
      </c>
      <c r="J40" s="83"/>
      <c r="K40" s="56">
        <f t="shared" si="17"/>
        <v>532.76</v>
      </c>
    </row>
    <row r="41" spans="1:11" s="77" customFormat="1" x14ac:dyDescent="0.35">
      <c r="A41" s="75" t="s">
        <v>3</v>
      </c>
      <c r="B41" s="75">
        <v>401176</v>
      </c>
      <c r="C41" s="78" t="s">
        <v>92</v>
      </c>
      <c r="D41" s="91">
        <v>4.7E-2</v>
      </c>
      <c r="E41" s="56">
        <v>582.67999999999995</v>
      </c>
      <c r="F41" s="58">
        <v>293.49</v>
      </c>
      <c r="G41" s="56">
        <f t="shared" si="15"/>
        <v>289.18999999999994</v>
      </c>
      <c r="H41" s="82">
        <f t="shared" si="16"/>
        <v>178.04111111111109</v>
      </c>
      <c r="I41" s="82">
        <f t="shared" si="0"/>
        <v>2.0231944444444441</v>
      </c>
      <c r="J41" s="83"/>
      <c r="K41" s="56">
        <f t="shared" si="17"/>
        <v>293.49</v>
      </c>
    </row>
    <row r="42" spans="1:11" s="77" customFormat="1" x14ac:dyDescent="0.35">
      <c r="A42" s="75"/>
      <c r="B42" s="75">
        <v>401175</v>
      </c>
      <c r="C42" s="78" t="s">
        <v>93</v>
      </c>
      <c r="D42" s="91">
        <v>0.05</v>
      </c>
      <c r="E42" s="56">
        <v>556.86</v>
      </c>
      <c r="F42" s="58">
        <v>293.49</v>
      </c>
      <c r="G42" s="56">
        <f t="shared" si="15"/>
        <v>263.37</v>
      </c>
      <c r="H42" s="82">
        <f t="shared" si="16"/>
        <v>170.15166666666667</v>
      </c>
      <c r="I42" s="82">
        <f t="shared" si="0"/>
        <v>1.9335416666666667</v>
      </c>
      <c r="J42" s="83"/>
      <c r="K42" s="56">
        <f t="shared" si="17"/>
        <v>293.49</v>
      </c>
    </row>
    <row r="43" spans="1:11" s="77" customFormat="1" x14ac:dyDescent="0.35">
      <c r="A43" s="75"/>
      <c r="B43" s="75">
        <v>401178</v>
      </c>
      <c r="C43" s="78" t="s">
        <v>4</v>
      </c>
      <c r="D43" s="91">
        <v>4.4999999999999998E-2</v>
      </c>
      <c r="E43" s="56">
        <v>578.97</v>
      </c>
      <c r="F43" s="56">
        <v>284.02999999999997</v>
      </c>
      <c r="G43" s="56">
        <f t="shared" si="15"/>
        <v>294.94000000000005</v>
      </c>
      <c r="H43" s="82">
        <f t="shared" si="16"/>
        <v>176.9075</v>
      </c>
      <c r="I43" s="82">
        <f t="shared" si="0"/>
        <v>2.0103124999999999</v>
      </c>
      <c r="J43" s="83"/>
      <c r="K43" s="56">
        <f t="shared" si="17"/>
        <v>284.02999999999997</v>
      </c>
    </row>
    <row r="44" spans="1:11" s="77" customFormat="1" x14ac:dyDescent="0.35">
      <c r="A44" s="74"/>
      <c r="B44" s="75">
        <v>401173</v>
      </c>
      <c r="C44" s="78" t="s">
        <v>59</v>
      </c>
      <c r="D44" s="91">
        <v>0.04</v>
      </c>
      <c r="E44" s="56">
        <v>815.54</v>
      </c>
      <c r="F44" s="56">
        <v>461.65</v>
      </c>
      <c r="G44" s="56">
        <f t="shared" si="15"/>
        <v>353.89</v>
      </c>
      <c r="H44" s="82">
        <f t="shared" si="16"/>
        <v>249.19277777777774</v>
      </c>
      <c r="I44" s="82">
        <f t="shared" si="0"/>
        <v>2.8317361111111108</v>
      </c>
      <c r="J44" s="83"/>
      <c r="K44" s="56">
        <f t="shared" si="17"/>
        <v>461.65</v>
      </c>
    </row>
    <row r="45" spans="1:11" s="77" customFormat="1" x14ac:dyDescent="0.35">
      <c r="A45" s="74"/>
      <c r="B45" s="75">
        <v>401174</v>
      </c>
      <c r="C45" s="78" t="s">
        <v>65</v>
      </c>
      <c r="D45" s="91">
        <v>4.4999999999999998E-2</v>
      </c>
      <c r="E45" s="56">
        <v>782.28</v>
      </c>
      <c r="F45" s="56">
        <v>406.59</v>
      </c>
      <c r="G45" s="56">
        <f t="shared" si="15"/>
        <v>375.69</v>
      </c>
      <c r="H45" s="82">
        <f t="shared" si="16"/>
        <v>239.03</v>
      </c>
      <c r="I45" s="82">
        <f t="shared" si="0"/>
        <v>2.7162500000000001</v>
      </c>
      <c r="J45" s="83"/>
      <c r="K45" s="56">
        <f t="shared" si="17"/>
        <v>406.59</v>
      </c>
    </row>
    <row r="46" spans="1:11" s="77" customFormat="1" x14ac:dyDescent="0.35">
      <c r="A46" s="74"/>
      <c r="B46" s="75"/>
      <c r="C46" s="78"/>
      <c r="D46" s="85"/>
      <c r="E46" s="73"/>
      <c r="F46" s="73"/>
      <c r="G46" s="73"/>
      <c r="H46" s="80"/>
      <c r="I46" s="80"/>
      <c r="J46" s="80"/>
      <c r="K46" s="73"/>
    </row>
    <row r="47" spans="1:11" s="39" customFormat="1" x14ac:dyDescent="0.35">
      <c r="A47" s="40"/>
      <c r="B47"/>
      <c r="C47"/>
      <c r="D47"/>
      <c r="E47" s="36"/>
      <c r="F47" s="36"/>
      <c r="G47" s="36"/>
      <c r="H47" s="36"/>
      <c r="I47" s="36"/>
      <c r="J47" s="36"/>
      <c r="K47" s="36"/>
    </row>
  </sheetData>
  <sheetProtection selectLockedCells="1"/>
  <autoFilter ref="C1:C47" xr:uid="{00000000-0001-0000-0100-000000000000}"/>
  <mergeCells count="4">
    <mergeCell ref="C2:H2"/>
    <mergeCell ref="C4:C5"/>
    <mergeCell ref="D4:D5"/>
    <mergeCell ref="B4:B5"/>
  </mergeCells>
  <phoneticPr fontId="27" type="noConversion"/>
  <pageMargins left="0.70866141732283472" right="0.70866141732283472" top="0.74803149606299213" bottom="0.74803149606299213" header="0.31496062992125984" footer="0.31496062992125984"/>
  <pageSetup paperSize="9" scale="52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zoomScale="70" zoomScaleNormal="70" workbookViewId="0">
      <pane ySplit="5" topLeftCell="A6" activePane="bottomLeft" state="frozen"/>
      <selection pane="bottomLeft" activeCell="H29" sqref="H29"/>
    </sheetView>
  </sheetViews>
  <sheetFormatPr defaultRowHeight="14.5" x14ac:dyDescent="0.35"/>
  <cols>
    <col min="1" max="2" width="16.453125" customWidth="1"/>
    <col min="3" max="3" width="38.90625" customWidth="1"/>
    <col min="4" max="4" width="11.453125" customWidth="1"/>
    <col min="5" max="5" width="14.90625" style="36" customWidth="1"/>
    <col min="6" max="7" width="15.6328125" style="36" customWidth="1"/>
    <col min="8" max="8" width="15.6328125" style="42" customWidth="1"/>
    <col min="9" max="10" width="15.6328125" style="44" customWidth="1"/>
    <col min="11" max="11" width="13.90625" style="96" customWidth="1"/>
  </cols>
  <sheetData>
    <row r="1" spans="1:11" ht="15.5" x14ac:dyDescent="0.35">
      <c r="A1" s="1"/>
      <c r="B1" s="1"/>
      <c r="C1" s="2"/>
      <c r="D1" s="6"/>
      <c r="E1" s="35"/>
      <c r="F1" s="37"/>
      <c r="G1" s="37"/>
      <c r="H1" s="41"/>
      <c r="I1" s="43"/>
      <c r="J1" s="43"/>
      <c r="K1" s="92"/>
    </row>
    <row r="2" spans="1:11" ht="28" x14ac:dyDescent="0.6">
      <c r="A2" s="1"/>
      <c r="B2" s="1"/>
      <c r="C2" s="116" t="s">
        <v>102</v>
      </c>
      <c r="D2" s="116"/>
      <c r="E2" s="116"/>
      <c r="F2" s="117"/>
      <c r="G2" s="59"/>
      <c r="H2" s="60"/>
      <c r="I2" s="61"/>
      <c r="J2" s="61"/>
      <c r="K2" s="93"/>
    </row>
    <row r="3" spans="1:11" ht="24.75" customHeight="1" thickBot="1" x14ac:dyDescent="0.4">
      <c r="A3" s="34"/>
      <c r="B3" s="34"/>
      <c r="C3" s="2"/>
      <c r="D3" s="6"/>
      <c r="E3" s="35"/>
      <c r="F3" s="37"/>
      <c r="G3" s="37"/>
      <c r="H3" s="62"/>
      <c r="I3" s="63"/>
      <c r="J3" s="63"/>
      <c r="K3" s="92"/>
    </row>
    <row r="4" spans="1:11" ht="25.5" customHeight="1" x14ac:dyDescent="0.35">
      <c r="A4" s="3"/>
      <c r="B4" s="112" t="s">
        <v>73</v>
      </c>
      <c r="C4" s="112" t="s">
        <v>55</v>
      </c>
      <c r="D4" s="112" t="s">
        <v>14</v>
      </c>
      <c r="E4" s="48" t="s">
        <v>5</v>
      </c>
      <c r="F4" s="49" t="s">
        <v>43</v>
      </c>
      <c r="G4" s="49" t="s">
        <v>61</v>
      </c>
      <c r="H4" s="64" t="s">
        <v>64</v>
      </c>
      <c r="I4" s="65" t="s">
        <v>63</v>
      </c>
      <c r="J4" s="118" t="s">
        <v>87</v>
      </c>
      <c r="K4" s="94" t="s">
        <v>45</v>
      </c>
    </row>
    <row r="5" spans="1:11" ht="22.5" customHeight="1" thickBot="1" x14ac:dyDescent="0.5">
      <c r="A5" s="3"/>
      <c r="B5" s="113"/>
      <c r="C5" s="113"/>
      <c r="D5" s="113"/>
      <c r="E5" s="51" t="s">
        <v>56</v>
      </c>
      <c r="F5" s="52" t="s">
        <v>60</v>
      </c>
      <c r="G5" s="52" t="s">
        <v>62</v>
      </c>
      <c r="H5" s="66" t="s">
        <v>62</v>
      </c>
      <c r="I5" s="67"/>
      <c r="J5" s="119"/>
      <c r="K5" s="95" t="s">
        <v>46</v>
      </c>
    </row>
    <row r="7" spans="1:11" s="39" customFormat="1" x14ac:dyDescent="0.35">
      <c r="A7" s="121" t="s">
        <v>19</v>
      </c>
      <c r="B7" s="75">
        <v>90425</v>
      </c>
      <c r="C7" s="76" t="s">
        <v>0</v>
      </c>
      <c r="D7" s="91">
        <v>0.04</v>
      </c>
      <c r="E7" s="56">
        <v>641.62</v>
      </c>
      <c r="F7" s="56">
        <f>'BDM Copy'!H7</f>
        <v>196.05055555555555</v>
      </c>
      <c r="G7" s="57">
        <f>(F7/88)</f>
        <v>2.2278472222222221</v>
      </c>
      <c r="H7" s="71"/>
      <c r="I7" s="68" t="e">
        <f>((H7/1.2)-G7)/(H7/1.2)</f>
        <v>#DIV/0!</v>
      </c>
      <c r="J7" s="106">
        <f>H7-G7</f>
        <v>-2.2278472222222221</v>
      </c>
      <c r="K7" s="97">
        <f>'BDM Copy'!J7</f>
        <v>0</v>
      </c>
    </row>
    <row r="8" spans="1:11" s="39" customFormat="1" x14ac:dyDescent="0.35">
      <c r="A8" s="121"/>
      <c r="B8" s="75">
        <v>400889</v>
      </c>
      <c r="C8" s="76" t="s">
        <v>21</v>
      </c>
      <c r="D8" s="91">
        <v>3.4000000000000002E-2</v>
      </c>
      <c r="E8" s="56">
        <v>538.39</v>
      </c>
      <c r="F8" s="56">
        <f>'BDM Copy'!H8</f>
        <v>164.50805555555556</v>
      </c>
      <c r="G8" s="57">
        <f>(F8/88)</f>
        <v>1.8694097222222223</v>
      </c>
      <c r="H8" s="71">
        <v>4</v>
      </c>
      <c r="I8" s="68">
        <f t="shared" ref="I8" si="0">((H8/1.2)-G8)/(H8/1.2)</f>
        <v>0.43917708333333333</v>
      </c>
      <c r="J8" s="106">
        <f t="shared" ref="J8:J40" si="1">H8-G8</f>
        <v>2.1305902777777774</v>
      </c>
      <c r="K8" s="97">
        <f>'BDM Copy'!J8</f>
        <v>0</v>
      </c>
    </row>
    <row r="9" spans="1:11" s="77" customFormat="1" x14ac:dyDescent="0.35">
      <c r="A9" s="75"/>
      <c r="B9" s="75"/>
      <c r="C9" s="78"/>
      <c r="D9" s="79"/>
      <c r="E9" s="56"/>
      <c r="F9" s="73"/>
      <c r="G9" s="80"/>
      <c r="H9" s="101"/>
      <c r="I9" s="102"/>
      <c r="J9" s="107"/>
      <c r="K9" s="103"/>
    </row>
    <row r="10" spans="1:11" s="39" customFormat="1" x14ac:dyDescent="0.35">
      <c r="A10" s="121" t="s">
        <v>20</v>
      </c>
      <c r="B10" s="75">
        <v>400217</v>
      </c>
      <c r="C10" s="78" t="s">
        <v>49</v>
      </c>
      <c r="D10" s="91">
        <v>4.8000000000000001E-2</v>
      </c>
      <c r="E10" s="56">
        <v>788.01</v>
      </c>
      <c r="F10" s="56">
        <f>'BDM Copy'!H11</f>
        <v>240.78083333333336</v>
      </c>
      <c r="G10" s="57">
        <f>(F10/88)</f>
        <v>2.7361458333333335</v>
      </c>
      <c r="H10" s="71"/>
      <c r="I10" s="68" t="e">
        <f t="shared" ref="I10:I15" si="2">((H10/1.2)-G10)/(H10/1.2)</f>
        <v>#DIV/0!</v>
      </c>
      <c r="J10" s="106">
        <f t="shared" si="1"/>
        <v>-2.7361458333333335</v>
      </c>
      <c r="K10" s="97">
        <f>'BDM Copy'!J11</f>
        <v>0</v>
      </c>
    </row>
    <row r="11" spans="1:11" s="39" customFormat="1" x14ac:dyDescent="0.35">
      <c r="A11" s="121"/>
      <c r="B11" s="75" t="s">
        <v>78</v>
      </c>
      <c r="C11" s="78" t="s">
        <v>51</v>
      </c>
      <c r="D11" s="91">
        <v>4.8000000000000001E-2</v>
      </c>
      <c r="E11" s="56">
        <v>805.6</v>
      </c>
      <c r="F11" s="56">
        <f>'BDM Copy'!H12</f>
        <v>246.15555555555557</v>
      </c>
      <c r="G11" s="57">
        <f>(F11/88)</f>
        <v>2.7972222222222225</v>
      </c>
      <c r="H11" s="71"/>
      <c r="I11" s="68" t="e">
        <f t="shared" si="2"/>
        <v>#DIV/0!</v>
      </c>
      <c r="J11" s="106">
        <f t="shared" si="1"/>
        <v>-2.7972222222222225</v>
      </c>
      <c r="K11" s="97">
        <f>'BDM Copy'!J12</f>
        <v>0</v>
      </c>
    </row>
    <row r="12" spans="1:11" s="39" customFormat="1" x14ac:dyDescent="0.35">
      <c r="A12" s="121"/>
      <c r="B12" s="84" t="s">
        <v>79</v>
      </c>
      <c r="C12" s="76" t="s">
        <v>18</v>
      </c>
      <c r="D12" s="91">
        <v>4.5999999999999999E-2</v>
      </c>
      <c r="E12" s="56">
        <v>960.76</v>
      </c>
      <c r="F12" s="56">
        <f>'BDM Copy'!H14</f>
        <v>293.56555555555559</v>
      </c>
      <c r="G12" s="57">
        <f>(F12/80)</f>
        <v>3.6695694444444449</v>
      </c>
      <c r="H12" s="71"/>
      <c r="I12" s="68" t="e">
        <f t="shared" si="2"/>
        <v>#DIV/0!</v>
      </c>
      <c r="J12" s="106">
        <f t="shared" si="1"/>
        <v>-3.6695694444444449</v>
      </c>
      <c r="K12" s="97">
        <f>'BDM Copy'!J14</f>
        <v>0</v>
      </c>
    </row>
    <row r="13" spans="1:11" s="39" customFormat="1" x14ac:dyDescent="0.35">
      <c r="A13" s="121"/>
      <c r="B13" s="84" t="s">
        <v>105</v>
      </c>
      <c r="C13" s="76" t="s">
        <v>103</v>
      </c>
      <c r="D13" s="91">
        <v>4.8000000000000001E-2</v>
      </c>
      <c r="E13" s="56">
        <v>1031.49</v>
      </c>
      <c r="F13" s="56">
        <f>'BDM Copy'!H15</f>
        <v>315.17750000000001</v>
      </c>
      <c r="G13" s="57">
        <f t="shared" ref="G13:G14" si="3">(F13/80)</f>
        <v>3.9397187499999999</v>
      </c>
      <c r="H13" s="71"/>
      <c r="I13" s="68" t="e">
        <f t="shared" si="2"/>
        <v>#DIV/0!</v>
      </c>
      <c r="J13" s="106">
        <f t="shared" si="1"/>
        <v>-3.9397187499999999</v>
      </c>
      <c r="K13" s="97"/>
    </row>
    <row r="14" spans="1:11" s="39" customFormat="1" x14ac:dyDescent="0.35">
      <c r="A14" s="121"/>
      <c r="B14" s="84" t="s">
        <v>106</v>
      </c>
      <c r="C14" s="76" t="s">
        <v>104</v>
      </c>
      <c r="D14" s="91">
        <v>0.05</v>
      </c>
      <c r="E14" s="56">
        <v>638.73</v>
      </c>
      <c r="F14" s="56">
        <f>'BDM Copy'!H16</f>
        <v>195.16749999999999</v>
      </c>
      <c r="G14" s="57">
        <f t="shared" si="3"/>
        <v>2.4395937499999998</v>
      </c>
      <c r="H14" s="71"/>
      <c r="I14" s="68" t="e">
        <f t="shared" si="2"/>
        <v>#DIV/0!</v>
      </c>
      <c r="J14" s="106">
        <f t="shared" si="1"/>
        <v>-2.4395937499999998</v>
      </c>
      <c r="K14" s="97"/>
    </row>
    <row r="15" spans="1:11" s="39" customFormat="1" x14ac:dyDescent="0.35">
      <c r="A15" s="121"/>
      <c r="B15" s="75" t="s">
        <v>80</v>
      </c>
      <c r="C15" s="78" t="s">
        <v>16</v>
      </c>
      <c r="D15" s="91">
        <v>4.5999999999999999E-2</v>
      </c>
      <c r="E15" s="56">
        <v>1052.98</v>
      </c>
      <c r="F15" s="56">
        <f>'BDM Copy'!H17</f>
        <v>321.74388888888893</v>
      </c>
      <c r="G15" s="57">
        <f>(F15/88)</f>
        <v>3.6561805555555562</v>
      </c>
      <c r="H15" s="71"/>
      <c r="I15" s="68" t="e">
        <f t="shared" si="2"/>
        <v>#DIV/0!</v>
      </c>
      <c r="J15" s="106">
        <f t="shared" si="1"/>
        <v>-3.6561805555555562</v>
      </c>
      <c r="K15" s="97">
        <f>'BDM Copy'!J17</f>
        <v>0</v>
      </c>
    </row>
    <row r="16" spans="1:11" s="77" customFormat="1" x14ac:dyDescent="0.35">
      <c r="A16" s="75"/>
      <c r="B16" s="75"/>
      <c r="C16" s="76"/>
      <c r="D16" s="85"/>
      <c r="E16" s="56"/>
      <c r="F16" s="73"/>
      <c r="G16" s="80"/>
      <c r="H16" s="101"/>
      <c r="I16" s="102"/>
      <c r="J16" s="107"/>
      <c r="K16" s="103"/>
    </row>
    <row r="17" spans="1:11" s="39" customFormat="1" x14ac:dyDescent="0.35">
      <c r="A17" s="120" t="s">
        <v>53</v>
      </c>
      <c r="B17" s="86" t="s">
        <v>81</v>
      </c>
      <c r="C17" s="76" t="s">
        <v>52</v>
      </c>
      <c r="D17" s="98">
        <v>0.04</v>
      </c>
      <c r="E17" s="56">
        <v>659.87</v>
      </c>
      <c r="F17" s="56">
        <f>'BDM Copy'!H19</f>
        <v>205.08583333333334</v>
      </c>
      <c r="G17" s="57">
        <f t="shared" ref="G17:G40" si="4">(F17/88)</f>
        <v>2.3305208333333334</v>
      </c>
      <c r="H17" s="71"/>
      <c r="I17" s="68" t="e">
        <f t="shared" ref="I17:I40" si="5">((H17/1.2)-G17)/(H17/1.2)</f>
        <v>#DIV/0!</v>
      </c>
      <c r="J17" s="106">
        <f t="shared" si="1"/>
        <v>-2.3305208333333334</v>
      </c>
      <c r="K17" s="97">
        <f>'BDM Copy'!J19</f>
        <v>0</v>
      </c>
    </row>
    <row r="18" spans="1:11" s="39" customFormat="1" x14ac:dyDescent="0.35">
      <c r="A18" s="120"/>
      <c r="B18" s="75" t="s">
        <v>82</v>
      </c>
      <c r="C18" s="76" t="s">
        <v>50</v>
      </c>
      <c r="D18" s="91">
        <v>5.5E-2</v>
      </c>
      <c r="E18" s="56">
        <v>671.19</v>
      </c>
      <c r="F18" s="56">
        <f>'BDM Copy'!H20</f>
        <v>196.77472222222221</v>
      </c>
      <c r="G18" s="57">
        <f t="shared" si="4"/>
        <v>2.2360763888888888</v>
      </c>
      <c r="H18" s="71"/>
      <c r="I18" s="68" t="e">
        <f t="shared" si="5"/>
        <v>#DIV/0!</v>
      </c>
      <c r="J18" s="106">
        <f t="shared" si="1"/>
        <v>-2.2360763888888888</v>
      </c>
      <c r="K18" s="97">
        <f>'BDM Copy'!J20</f>
        <v>0</v>
      </c>
    </row>
    <row r="19" spans="1:11" s="39" customFormat="1" x14ac:dyDescent="0.35">
      <c r="A19" s="120"/>
      <c r="B19" s="75" t="s">
        <v>83</v>
      </c>
      <c r="C19" s="76" t="s">
        <v>68</v>
      </c>
      <c r="D19" s="91">
        <v>0.05</v>
      </c>
      <c r="E19" s="56">
        <v>643.99</v>
      </c>
      <c r="F19" s="56">
        <f>'BDM Copy'!H21</f>
        <v>196.77472222222221</v>
      </c>
      <c r="G19" s="57">
        <f>(F19/54)</f>
        <v>3.6439763374485596</v>
      </c>
      <c r="H19" s="71"/>
      <c r="I19" s="68" t="e">
        <f t="shared" si="5"/>
        <v>#DIV/0!</v>
      </c>
      <c r="J19" s="106">
        <f t="shared" si="1"/>
        <v>-3.6439763374485596</v>
      </c>
      <c r="K19" s="97">
        <f>'BDM Copy'!J21</f>
        <v>0</v>
      </c>
    </row>
    <row r="20" spans="1:11" s="39" customFormat="1" x14ac:dyDescent="0.35">
      <c r="A20" s="120"/>
      <c r="B20" s="75" t="s">
        <v>84</v>
      </c>
      <c r="C20" s="76" t="s">
        <v>69</v>
      </c>
      <c r="D20" s="91">
        <v>4.4999999999999998E-2</v>
      </c>
      <c r="E20" s="56">
        <v>686.7</v>
      </c>
      <c r="F20" s="56">
        <f>'BDM Copy'!H22</f>
        <v>209.82500000000005</v>
      </c>
      <c r="G20" s="57">
        <f>(F20/54)</f>
        <v>3.8856481481481491</v>
      </c>
      <c r="H20" s="71"/>
      <c r="I20" s="68" t="e">
        <f t="shared" si="5"/>
        <v>#DIV/0!</v>
      </c>
      <c r="J20" s="106">
        <f t="shared" si="1"/>
        <v>-3.8856481481481491</v>
      </c>
      <c r="K20" s="97">
        <f>'BDM Copy'!J22</f>
        <v>0</v>
      </c>
    </row>
    <row r="21" spans="1:11" s="39" customFormat="1" x14ac:dyDescent="0.35">
      <c r="A21" s="120"/>
      <c r="B21" s="75" t="s">
        <v>85</v>
      </c>
      <c r="C21" s="76" t="s">
        <v>57</v>
      </c>
      <c r="D21" s="91">
        <v>4.5999999999999999E-2</v>
      </c>
      <c r="E21" s="56">
        <v>778.81</v>
      </c>
      <c r="F21" s="56">
        <f>'BDM Copy'!H24</f>
        <v>237.96972222222217</v>
      </c>
      <c r="G21" s="57">
        <f t="shared" si="4"/>
        <v>2.7042013888888885</v>
      </c>
      <c r="H21" s="71"/>
      <c r="I21" s="68" t="e">
        <f t="shared" si="5"/>
        <v>#DIV/0!</v>
      </c>
      <c r="J21" s="106">
        <f t="shared" si="1"/>
        <v>-2.7042013888888885</v>
      </c>
      <c r="K21" s="97">
        <f>'BDM Copy'!J24</f>
        <v>0</v>
      </c>
    </row>
    <row r="22" spans="1:11" s="39" customFormat="1" x14ac:dyDescent="0.35">
      <c r="A22" s="120"/>
      <c r="B22" s="75" t="s">
        <v>86</v>
      </c>
      <c r="C22" s="76" t="s">
        <v>58</v>
      </c>
      <c r="D22" s="91">
        <v>4.2000000000000003E-2</v>
      </c>
      <c r="E22" s="56">
        <v>804.94</v>
      </c>
      <c r="F22" s="56">
        <f>'BDM Copy'!H25</f>
        <v>245.95388888888891</v>
      </c>
      <c r="G22" s="57">
        <f t="shared" si="4"/>
        <v>2.7949305555555557</v>
      </c>
      <c r="H22" s="71"/>
      <c r="I22" s="68" t="e">
        <f t="shared" si="5"/>
        <v>#DIV/0!</v>
      </c>
      <c r="J22" s="106">
        <f t="shared" si="1"/>
        <v>-2.7949305555555557</v>
      </c>
      <c r="K22" s="97">
        <f>'BDM Copy'!J25</f>
        <v>0</v>
      </c>
    </row>
    <row r="23" spans="1:11" s="39" customFormat="1" x14ac:dyDescent="0.35">
      <c r="A23" s="120"/>
      <c r="B23" s="75" t="s">
        <v>90</v>
      </c>
      <c r="C23" s="76" t="s">
        <v>88</v>
      </c>
      <c r="D23" s="91">
        <v>0.04</v>
      </c>
      <c r="E23" s="56">
        <v>762.18</v>
      </c>
      <c r="F23" s="56">
        <f>'BDM Copy'!H26</f>
        <v>139.733</v>
      </c>
      <c r="G23" s="57">
        <f>(F23/54)</f>
        <v>2.5876481481481481</v>
      </c>
      <c r="H23" s="71"/>
      <c r="I23" s="68" t="e">
        <f t="shared" si="5"/>
        <v>#DIV/0!</v>
      </c>
      <c r="J23" s="106">
        <f t="shared" si="1"/>
        <v>-2.5876481481481481</v>
      </c>
      <c r="K23" s="97">
        <f>'BDM Copy'!J26</f>
        <v>0</v>
      </c>
    </row>
    <row r="24" spans="1:11" s="39" customFormat="1" x14ac:dyDescent="0.35">
      <c r="A24" s="120"/>
      <c r="B24" s="75" t="s">
        <v>91</v>
      </c>
      <c r="C24" s="76" t="s">
        <v>89</v>
      </c>
      <c r="D24" s="91">
        <v>0.04</v>
      </c>
      <c r="E24" s="56">
        <v>762.18</v>
      </c>
      <c r="F24" s="56">
        <f>'BDM Copy'!H27</f>
        <v>139.733</v>
      </c>
      <c r="G24" s="57">
        <f>(F24/54)</f>
        <v>2.5876481481481481</v>
      </c>
      <c r="H24" s="71"/>
      <c r="I24" s="68" t="e">
        <f t="shared" si="5"/>
        <v>#DIV/0!</v>
      </c>
      <c r="J24" s="106">
        <f t="shared" si="1"/>
        <v>-2.5876481481481481</v>
      </c>
      <c r="K24" s="97">
        <f>'BDM Copy'!J27</f>
        <v>0</v>
      </c>
    </row>
    <row r="25" spans="1:11" s="77" customFormat="1" x14ac:dyDescent="0.35">
      <c r="A25" s="74"/>
      <c r="B25" s="75"/>
      <c r="C25" s="76"/>
      <c r="D25" s="85"/>
      <c r="E25" s="56"/>
      <c r="F25" s="73"/>
      <c r="G25" s="80"/>
      <c r="H25" s="101"/>
      <c r="I25" s="102"/>
      <c r="J25" s="107"/>
      <c r="K25" s="103"/>
    </row>
    <row r="26" spans="1:11" s="39" customFormat="1" x14ac:dyDescent="0.35">
      <c r="A26" s="120" t="s">
        <v>1</v>
      </c>
      <c r="B26" s="86" t="s">
        <v>74</v>
      </c>
      <c r="C26" s="78" t="s">
        <v>15</v>
      </c>
      <c r="D26" s="91">
        <v>3.2000000000000001E-2</v>
      </c>
      <c r="E26" s="56">
        <v>469.54</v>
      </c>
      <c r="F26" s="56">
        <f>'BDM Copy'!H29</f>
        <v>143.47055555555556</v>
      </c>
      <c r="G26" s="57">
        <f>(F26/88)</f>
        <v>1.6303472222222224</v>
      </c>
      <c r="H26" s="71">
        <v>4</v>
      </c>
      <c r="I26" s="68">
        <f>((H26/1.2)-G26)/(H26/1.2)</f>
        <v>0.51089583333333333</v>
      </c>
      <c r="J26" s="106">
        <f t="shared" si="1"/>
        <v>2.3696527777777776</v>
      </c>
      <c r="K26" s="97">
        <f>'BDM Copy'!J29</f>
        <v>0</v>
      </c>
    </row>
    <row r="27" spans="1:11" s="39" customFormat="1" x14ac:dyDescent="0.35">
      <c r="A27" s="120"/>
      <c r="B27" s="75">
        <v>4723</v>
      </c>
      <c r="C27" s="78" t="s">
        <v>72</v>
      </c>
      <c r="D27" s="91">
        <v>4.2000000000000003E-2</v>
      </c>
      <c r="E27" s="56">
        <v>606.46</v>
      </c>
      <c r="F27" s="56">
        <f>'BDM Copy'!H30</f>
        <v>185.30722222222226</v>
      </c>
      <c r="G27" s="57">
        <f t="shared" si="4"/>
        <v>2.1057638888888892</v>
      </c>
      <c r="H27" s="71"/>
      <c r="I27" s="68" t="e">
        <f t="shared" si="5"/>
        <v>#DIV/0!</v>
      </c>
      <c r="J27" s="106">
        <f t="shared" si="1"/>
        <v>-2.1057638888888892</v>
      </c>
      <c r="K27" s="97">
        <f>'BDM Copy'!J30</f>
        <v>0</v>
      </c>
    </row>
    <row r="28" spans="1:11" s="39" customFormat="1" x14ac:dyDescent="0.35">
      <c r="A28" s="120"/>
      <c r="B28" s="75">
        <v>401152</v>
      </c>
      <c r="C28" s="78" t="s">
        <v>71</v>
      </c>
      <c r="D28" s="91">
        <v>3.4000000000000002E-2</v>
      </c>
      <c r="E28" s="56">
        <v>475.18</v>
      </c>
      <c r="F28" s="56">
        <f>'BDM Copy'!H31</f>
        <v>145.19388888888889</v>
      </c>
      <c r="G28" s="57">
        <f t="shared" si="4"/>
        <v>1.6499305555555557</v>
      </c>
      <c r="H28" s="71"/>
      <c r="I28" s="68" t="e">
        <f t="shared" si="5"/>
        <v>#DIV/0!</v>
      </c>
      <c r="J28" s="106">
        <f t="shared" si="1"/>
        <v>-1.6499305555555557</v>
      </c>
      <c r="K28" s="97">
        <f>'BDM Copy'!J31</f>
        <v>0</v>
      </c>
    </row>
    <row r="29" spans="1:11" s="39" customFormat="1" x14ac:dyDescent="0.35">
      <c r="A29" s="120"/>
      <c r="B29" s="75">
        <v>4790</v>
      </c>
      <c r="C29" s="76" t="s">
        <v>70</v>
      </c>
      <c r="D29" s="91">
        <v>3.1E-2</v>
      </c>
      <c r="E29" s="56">
        <v>447.12</v>
      </c>
      <c r="F29" s="56">
        <f>'BDM Copy'!H32</f>
        <v>136.62</v>
      </c>
      <c r="G29" s="57">
        <f t="shared" si="4"/>
        <v>1.5525</v>
      </c>
      <c r="H29" s="71"/>
      <c r="I29" s="68" t="e">
        <f t="shared" si="5"/>
        <v>#DIV/0!</v>
      </c>
      <c r="J29" s="106">
        <f t="shared" si="1"/>
        <v>-1.5525</v>
      </c>
      <c r="K29" s="97">
        <f>'BDM Copy'!J32</f>
        <v>0</v>
      </c>
    </row>
    <row r="30" spans="1:11" s="39" customFormat="1" x14ac:dyDescent="0.35">
      <c r="A30" s="120"/>
      <c r="B30" s="84" t="s">
        <v>75</v>
      </c>
      <c r="C30" s="78" t="s">
        <v>2</v>
      </c>
      <c r="D30" s="99">
        <v>4.1000000000000002E-2</v>
      </c>
      <c r="E30" s="56">
        <v>779.24</v>
      </c>
      <c r="F30" s="56">
        <f>'BDM Copy'!H33</f>
        <v>238.10111111111112</v>
      </c>
      <c r="G30" s="57">
        <f t="shared" si="4"/>
        <v>2.7056944444444446</v>
      </c>
      <c r="H30" s="71"/>
      <c r="I30" s="68" t="e">
        <f t="shared" si="5"/>
        <v>#DIV/0!</v>
      </c>
      <c r="J30" s="106">
        <f t="shared" si="1"/>
        <v>-2.7056944444444446</v>
      </c>
      <c r="K30" s="97">
        <f>'BDM Copy'!J33</f>
        <v>0</v>
      </c>
    </row>
    <row r="31" spans="1:11" s="39" customFormat="1" x14ac:dyDescent="0.35">
      <c r="A31" s="120"/>
      <c r="B31" s="75" t="s">
        <v>77</v>
      </c>
      <c r="C31" s="89" t="s">
        <v>47</v>
      </c>
      <c r="D31" s="100">
        <v>4.4999999999999998E-2</v>
      </c>
      <c r="E31" s="56">
        <v>770.94</v>
      </c>
      <c r="F31" s="56">
        <f>'BDM Copy'!H35</f>
        <v>235.56500000000003</v>
      </c>
      <c r="G31" s="57">
        <f t="shared" si="4"/>
        <v>2.6768750000000003</v>
      </c>
      <c r="H31" s="71"/>
      <c r="I31" s="68" t="e">
        <f t="shared" si="5"/>
        <v>#DIV/0!</v>
      </c>
      <c r="J31" s="106">
        <f t="shared" si="1"/>
        <v>-2.6768750000000003</v>
      </c>
      <c r="K31" s="97">
        <f>'BDM Copy'!J35</f>
        <v>0</v>
      </c>
    </row>
    <row r="32" spans="1:11" s="39" customFormat="1" x14ac:dyDescent="0.35">
      <c r="A32" s="120"/>
      <c r="B32" s="75" t="s">
        <v>76</v>
      </c>
      <c r="C32" s="89" t="s">
        <v>48</v>
      </c>
      <c r="D32" s="100">
        <v>4.2000000000000003E-2</v>
      </c>
      <c r="E32" s="56">
        <v>756.28</v>
      </c>
      <c r="F32" s="56">
        <f>'BDM Copy'!H36</f>
        <v>231.08555555555552</v>
      </c>
      <c r="G32" s="57">
        <f t="shared" si="4"/>
        <v>2.6259722222222219</v>
      </c>
      <c r="H32" s="71"/>
      <c r="I32" s="68" t="e">
        <f t="shared" si="5"/>
        <v>#DIV/0!</v>
      </c>
      <c r="J32" s="106">
        <f t="shared" si="1"/>
        <v>-2.6259722222222219</v>
      </c>
      <c r="K32" s="97">
        <f>'BDM Copy'!J36</f>
        <v>0</v>
      </c>
    </row>
    <row r="33" spans="1:11" s="77" customFormat="1" x14ac:dyDescent="0.35">
      <c r="A33" s="74"/>
      <c r="B33" s="75"/>
      <c r="C33" s="89"/>
      <c r="D33" s="104"/>
      <c r="E33" s="56"/>
      <c r="F33" s="73"/>
      <c r="G33" s="80"/>
      <c r="H33" s="101"/>
      <c r="I33" s="102"/>
      <c r="J33" s="107"/>
      <c r="K33" s="103"/>
    </row>
    <row r="34" spans="1:11" s="39" customFormat="1" x14ac:dyDescent="0.35">
      <c r="A34" s="75"/>
      <c r="B34" s="75">
        <v>401172</v>
      </c>
      <c r="C34" s="78" t="s">
        <v>54</v>
      </c>
      <c r="D34" s="91">
        <v>4.4999999999999998E-2</v>
      </c>
      <c r="E34" s="56">
        <v>634.61</v>
      </c>
      <c r="F34" s="56">
        <f>'BDM Copy'!H39</f>
        <v>193.9086111111111</v>
      </c>
      <c r="G34" s="57">
        <f t="shared" si="4"/>
        <v>2.2035069444444444</v>
      </c>
      <c r="H34" s="71"/>
      <c r="I34" s="68" t="e">
        <f t="shared" si="5"/>
        <v>#DIV/0!</v>
      </c>
      <c r="J34" s="106">
        <f t="shared" si="1"/>
        <v>-2.2035069444444444</v>
      </c>
      <c r="K34" s="97">
        <f>'BDM Copy'!J39</f>
        <v>0</v>
      </c>
    </row>
    <row r="35" spans="1:11" x14ac:dyDescent="0.35">
      <c r="A35" s="75"/>
      <c r="B35" s="75">
        <v>401188</v>
      </c>
      <c r="C35" s="78" t="s">
        <v>94</v>
      </c>
      <c r="D35" s="91">
        <v>0.04</v>
      </c>
      <c r="E35" s="56">
        <v>860.72</v>
      </c>
      <c r="F35" s="56">
        <f>'BDM Copy'!H40</f>
        <v>262.9977777777778</v>
      </c>
      <c r="G35" s="57">
        <f t="shared" si="4"/>
        <v>2.9886111111111116</v>
      </c>
      <c r="H35" s="71"/>
      <c r="I35" s="68" t="e">
        <f t="shared" si="5"/>
        <v>#DIV/0!</v>
      </c>
      <c r="J35" s="106">
        <f t="shared" si="1"/>
        <v>-2.9886111111111116</v>
      </c>
      <c r="K35" s="97">
        <f>'BDM Copy'!J40</f>
        <v>0</v>
      </c>
    </row>
    <row r="36" spans="1:11" x14ac:dyDescent="0.35">
      <c r="A36" s="75" t="s">
        <v>3</v>
      </c>
      <c r="B36" s="75">
        <v>401176</v>
      </c>
      <c r="C36" s="78" t="s">
        <v>92</v>
      </c>
      <c r="D36" s="91">
        <v>4.7E-2</v>
      </c>
      <c r="E36" s="56">
        <v>612.37</v>
      </c>
      <c r="F36" s="56">
        <f>'BDM Copy'!H41</f>
        <v>178.04111111111109</v>
      </c>
      <c r="G36" s="57">
        <f t="shared" si="4"/>
        <v>2.0231944444444441</v>
      </c>
      <c r="H36" s="71"/>
      <c r="I36" s="68" t="e">
        <f t="shared" si="5"/>
        <v>#DIV/0!</v>
      </c>
      <c r="J36" s="106">
        <f t="shared" si="1"/>
        <v>-2.0231944444444441</v>
      </c>
      <c r="K36" s="97">
        <f>'BDM Copy'!J41</f>
        <v>0</v>
      </c>
    </row>
    <row r="37" spans="1:11" x14ac:dyDescent="0.35">
      <c r="A37" s="75"/>
      <c r="B37" s="75">
        <v>401175</v>
      </c>
      <c r="C37" s="78" t="s">
        <v>93</v>
      </c>
      <c r="D37" s="91">
        <v>0.05</v>
      </c>
      <c r="E37" s="56">
        <v>612.37</v>
      </c>
      <c r="F37" s="56">
        <f>'BDM Copy'!H42</f>
        <v>170.15166666666667</v>
      </c>
      <c r="G37" s="57">
        <f t="shared" si="4"/>
        <v>1.9335416666666667</v>
      </c>
      <c r="H37" s="71"/>
      <c r="I37" s="68" t="e">
        <f t="shared" si="5"/>
        <v>#DIV/0!</v>
      </c>
      <c r="J37" s="106">
        <f t="shared" si="1"/>
        <v>-1.9335416666666667</v>
      </c>
      <c r="K37" s="97">
        <f>'BDM Copy'!J42</f>
        <v>0</v>
      </c>
    </row>
    <row r="38" spans="1:11" x14ac:dyDescent="0.35">
      <c r="A38" s="75"/>
      <c r="B38" s="75">
        <v>401178</v>
      </c>
      <c r="C38" s="78" t="s">
        <v>4</v>
      </c>
      <c r="D38" s="91">
        <v>4.4999999999999998E-2</v>
      </c>
      <c r="E38" s="56">
        <v>578.97</v>
      </c>
      <c r="F38" s="56">
        <f>'BDM Copy'!H43</f>
        <v>176.9075</v>
      </c>
      <c r="G38" s="57">
        <f t="shared" si="4"/>
        <v>2.0103124999999999</v>
      </c>
      <c r="H38" s="71"/>
      <c r="I38" s="68" t="e">
        <f t="shared" si="5"/>
        <v>#DIV/0!</v>
      </c>
      <c r="J38" s="106">
        <f t="shared" si="1"/>
        <v>-2.0103124999999999</v>
      </c>
      <c r="K38" s="97">
        <f>'BDM Copy'!J43</f>
        <v>0</v>
      </c>
    </row>
    <row r="39" spans="1:11" x14ac:dyDescent="0.35">
      <c r="A39" s="74"/>
      <c r="B39" s="75">
        <v>401173</v>
      </c>
      <c r="C39" s="78" t="s">
        <v>59</v>
      </c>
      <c r="D39" s="91">
        <v>0.04</v>
      </c>
      <c r="E39" s="56">
        <v>815.54</v>
      </c>
      <c r="F39" s="56">
        <f>'BDM Copy'!H44</f>
        <v>249.19277777777774</v>
      </c>
      <c r="G39" s="57">
        <f t="shared" si="4"/>
        <v>2.8317361111111108</v>
      </c>
      <c r="H39" s="71"/>
      <c r="I39" s="68" t="e">
        <f t="shared" si="5"/>
        <v>#DIV/0!</v>
      </c>
      <c r="J39" s="106">
        <f t="shared" si="1"/>
        <v>-2.8317361111111108</v>
      </c>
      <c r="K39" s="97">
        <f>'BDM Copy'!J44</f>
        <v>0</v>
      </c>
    </row>
    <row r="40" spans="1:11" x14ac:dyDescent="0.35">
      <c r="A40" s="74"/>
      <c r="B40" s="75">
        <v>401174</v>
      </c>
      <c r="C40" s="78" t="s">
        <v>65</v>
      </c>
      <c r="D40" s="91">
        <v>4.4999999999999998E-2</v>
      </c>
      <c r="E40" s="56">
        <v>782.28</v>
      </c>
      <c r="F40" s="56">
        <f>'BDM Copy'!H45</f>
        <v>239.03</v>
      </c>
      <c r="G40" s="57">
        <f t="shared" si="4"/>
        <v>2.7162500000000001</v>
      </c>
      <c r="H40" s="71"/>
      <c r="I40" s="68" t="e">
        <f t="shared" si="5"/>
        <v>#DIV/0!</v>
      </c>
      <c r="J40" s="106">
        <f t="shared" si="1"/>
        <v>-2.7162500000000001</v>
      </c>
      <c r="K40" s="97">
        <f>'BDM Copy'!J45</f>
        <v>0</v>
      </c>
    </row>
    <row r="41" spans="1:11" x14ac:dyDescent="0.35">
      <c r="A41" s="105"/>
    </row>
  </sheetData>
  <sheetProtection selectLockedCells="1"/>
  <mergeCells count="9">
    <mergeCell ref="A17:A24"/>
    <mergeCell ref="A10:A15"/>
    <mergeCell ref="A7:A8"/>
    <mergeCell ref="A26:A32"/>
    <mergeCell ref="C2:F2"/>
    <mergeCell ref="C4:C5"/>
    <mergeCell ref="D4:D5"/>
    <mergeCell ref="B4:B5"/>
    <mergeCell ref="J4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b989d0-8306-4ecf-aa19-e274e743fa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5D4DE944B4674BA736254A499F47BC" ma:contentTypeVersion="18" ma:contentTypeDescription="Create a new document." ma:contentTypeScope="" ma:versionID="6bf0885cc57be0096abedca07e63979f">
  <xsd:schema xmlns:xsd="http://www.w3.org/2001/XMLSchema" xmlns:xs="http://www.w3.org/2001/XMLSchema" xmlns:p="http://schemas.microsoft.com/office/2006/metadata/properties" xmlns:ns3="ce8fd851-29ac-4a5f-8d43-197ec4e5459e" xmlns:ns4="60b989d0-8306-4ecf-aa19-e274e743fa25" targetNamespace="http://schemas.microsoft.com/office/2006/metadata/properties" ma:root="true" ma:fieldsID="32fd0a266a7036b3e6c88e241bc76678" ns3:_="" ns4:_="">
    <xsd:import namespace="ce8fd851-29ac-4a5f-8d43-197ec4e5459e"/>
    <xsd:import namespace="60b989d0-8306-4ecf-aa19-e274e743fa2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ServiceAutoTags" minOccurs="0"/>
                <xsd:element ref="ns4:MediaLengthInSecond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SearchPropertie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fd851-29ac-4a5f-8d43-197ec4e545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989d0-8306-4ecf-aa19-e274e743f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E011D1-5D6D-4ED6-A073-3466DFE84BA8}">
  <ds:schemaRefs>
    <ds:schemaRef ds:uri="http://purl.org/dc/terms/"/>
    <ds:schemaRef ds:uri="ce8fd851-29ac-4a5f-8d43-197ec4e5459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60b989d0-8306-4ecf-aa19-e274e743fa25"/>
  </ds:schemaRefs>
</ds:datastoreItem>
</file>

<file path=customXml/itemProps2.xml><?xml version="1.0" encoding="utf-8"?>
<ds:datastoreItem xmlns:ds="http://schemas.openxmlformats.org/officeDocument/2006/customXml" ds:itemID="{94D58935-1F03-4217-B8B0-E3887E78C4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E5D33-D4C6-4349-8A18-F792858BC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8fd851-29ac-4a5f-8d43-197ec4e5459e"/>
    <ds:schemaRef ds:uri="60b989d0-8306-4ecf-aa19-e274e743fa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Comms</vt:lpstr>
      <vt:lpstr>BDM Copy</vt:lpstr>
      <vt:lpstr>Customer Copy</vt:lpstr>
    </vt:vector>
  </TitlesOfParts>
  <Company>C&amp;C Group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and C</dc:creator>
  <cp:lastModifiedBy>Simpson, David</cp:lastModifiedBy>
  <cp:lastPrinted>2018-04-03T09:09:33Z</cp:lastPrinted>
  <dcterms:created xsi:type="dcterms:W3CDTF">2011-01-25T10:02:29Z</dcterms:created>
  <dcterms:modified xsi:type="dcterms:W3CDTF">2026-10-09T15:01:07Z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0x010100785D4DE944B4674BA736254A499F47BC</vt:lpwstr>
  </property>
</Properties>
</file>